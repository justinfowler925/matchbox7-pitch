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5"/>
    <sheet state="visible" name="INPUTS" sheetId="2" r:id="rId6"/>
    <sheet state="visible" name="CALC_RM" sheetId="3" r:id="rId7"/>
    <sheet state="visible" name="CALC_COGS" sheetId="4" r:id="rId8"/>
    <sheet state="visible" name="CALC_MONTHLY" sheetId="5" r:id="rId9"/>
    <sheet state="visible" name="CALC_PL" sheetId="6" r:id="rId10"/>
    <sheet state="visible" name="CALC_CASH" sheetId="7" r:id="rId11"/>
    <sheet state="visible" name="DASHBOARD" sheetId="8" r:id="rId12"/>
    <sheet state="visible" name="AUDIT" sheetId="9" r:id="rId13"/>
  </sheets>
  <definedNames/>
  <calcPr/>
</workbook>
</file>

<file path=xl/sharedStrings.xml><?xml version="1.0" encoding="utf-8"?>
<sst xmlns="http://schemas.openxmlformats.org/spreadsheetml/2006/main" count="773" uniqueCount="612">
  <si>
    <t>MonchMonch Financial Model — Spreadsheet Rebuild</t>
  </si>
  <si>
    <t>Version</t>
  </si>
  <si>
    <t>v3.0 rebuild (reverse-engineered from github.com/justinfowler925/monchmonch)</t>
  </si>
  <si>
    <t>Built</t>
  </si>
  <si>
    <t>2026-05-20</t>
  </si>
  <si>
    <t>Source of truth</t>
  </si>
  <si>
    <t>monchmonch-calc/src/constants.js + model.js (commit on 2026-05-20)</t>
  </si>
  <si>
    <t>Status</t>
  </si>
  <si>
    <t>Pass 1 of 3 — INPUTS, CALC_RM, CALC_COGS complete; remaining tabs are scaffolds</t>
  </si>
  <si>
    <t>PURPOSE</t>
  </si>
  <si>
    <t>Replace the GitHub JavaScript calculator with a single editable workbook the user controls at the cell level. Every output traces to a formula; every formula traces to an INPUTS cell. No hardcoded numbers in calculation tabs.</t>
  </si>
  <si>
    <t>COLOR CONVENTION (industry-standard)</t>
  </si>
  <si>
    <t>Blue text</t>
  </si>
  <si>
    <t>Hardcoded input — change these to run scenarios</t>
  </si>
  <si>
    <t>Black text</t>
  </si>
  <si>
    <t>Formula on the same sheet</t>
  </si>
  <si>
    <t>Green text</t>
  </si>
  <si>
    <t>Formula linking to another sheet</t>
  </si>
  <si>
    <t>Yellow background</t>
  </si>
  <si>
    <t>Key assumption — review before using</t>
  </si>
  <si>
    <t>Orange background</t>
  </si>
  <si>
    <t>Known issue carried over from v3.0 JS code (see AUDIT tab)</t>
  </si>
  <si>
    <t>TAB MAP</t>
  </si>
  <si>
    <t>README</t>
  </si>
  <si>
    <t>This page</t>
  </si>
  <si>
    <t>INPUTS</t>
  </si>
  <si>
    <t>All parameters from constants.js, organized by section. Edit blue cells to change scenarios.</t>
  </si>
  <si>
    <t>CALC_RM</t>
  </si>
  <si>
    <t>Raw material cost rollup per ingredient at each tier (bars + electrolytes)</t>
  </si>
  <si>
    <t>CALC_COGS</t>
  </si>
  <si>
    <t>7-tier COGS waterfall for bars and electrolytes. Shows v3.0 original AND a corrected version (overhead double-count removed).</t>
  </si>
  <si>
    <t>CALC_MONTHLY</t>
  </si>
  <si>
    <t>[Pass 2] Y1 monthly engine: demand → production → inventory → spoilage → channel revenue with proper ramp enforcement</t>
  </si>
  <si>
    <t>CALC_PL</t>
  </si>
  <si>
    <t>[Pass 2] 5-year P&amp;L combining bars + ingredient licensing</t>
  </si>
  <si>
    <t>CALC_CASH</t>
  </si>
  <si>
    <t>[Pass 3] 60-month cash flow with proper working-capital changes (the piece v3.0 does not actually compute)</t>
  </si>
  <si>
    <t>DASHBOARD</t>
  </si>
  <si>
    <t>[Pass 3] Every number cited in the pitch deck, sourced to a formula on a calc tab</t>
  </si>
  <si>
    <t>AUDIT</t>
  </si>
  <si>
    <t>[Pass 3] Side-by-side: JS output vs. this workbook, plus documentation of every divergence and bug fix</t>
  </si>
  <si>
    <t>KNOWN ISSUES INHERITED FROM v3.0 JS CODE</t>
  </si>
  <si>
    <t>1. Overhead double-counted</t>
  </si>
  <si>
    <t>fixedOverhead appears in both COGS (via ohAtTier) and OpEx (via annual fixed OH line). Corrected COGS column in CALC_COGS removes it from COGS; OpEx keeps the full annual figure.</t>
  </si>
  <si>
    <t>2. COGS overhead dimensionally off</t>
  </si>
  <si>
    <t>Original formula: fixedOverhead / midVol[tier]. Divides a monthly $ by an annual unit count. Magnitude is arbitrary; direction (scale-down) is the only correct piece.</t>
  </si>
  <si>
    <t>3. Annual revenue ignores ramp</t>
  </si>
  <si>
    <t>Monthly calc respects channel rampMonths; annual calc does not. Annual P&amp;L revenue is overstated relative to sum of monthly figures.</t>
  </si>
  <si>
    <t>4. Cash flow is just cumulative EBITDA</t>
  </si>
  <si>
    <t>No WC changes, no AR/AP, no inventory build. The "$968K Y2 trough" in the deck is annual EBITDA spread evenly across months — a smoothed approximation, not a real cash projection.</t>
  </si>
  <si>
    <t>5. Bar BOM is incomplete</t>
  </si>
  <si>
    <t>Many bar ingredients in constants.js have qty=0 (Milk Protein Isolate, Tapioca Fiber, IMO, Veg Glycerin, Cocoa Butter, Sunflower Lecithin, Salt, Cocoa Soy Crisp). The bar RM cost is understated relative to a real recipe.</t>
  </si>
  <si>
    <t>6. Deck COGS numbers off-model</t>
  </si>
  <si>
    <t>Deck cites $1.59 bar COGS at 25K units and $1.35 at 100K. v3.0 computes $1.83 and $1.64 respectively. Deck gross margin math is self-consistent but the COGS values are not derived from the model.</t>
  </si>
  <si>
    <t>HOW TO USE</t>
  </si>
  <si>
    <t>2. Edit INPUTS</t>
  </si>
  <si>
    <t>Change any blue cell. The CALC tabs and DASHBOARD will update.</t>
  </si>
  <si>
    <t>3. Check AUDIT</t>
  </si>
  <si>
    <t>Before sharing with investors, review the AUDIT tab to confirm which numbers match v3.0 and which deliberately diverge.</t>
  </si>
  <si>
    <t>INPUTS — All Parameters (v3.0 mirror)</t>
  </si>
  <si>
    <t>GLOBAL ASSUMPTIONS</t>
  </si>
  <si>
    <t>Parameter</t>
  </si>
  <si>
    <t>Value</t>
  </si>
  <si>
    <t>Notes</t>
  </si>
  <si>
    <t>Returns / Allowances %</t>
  </si>
  <si>
    <t>2% of gross revenue across all channels</t>
  </si>
  <si>
    <t>Target Days of Inventory</t>
  </si>
  <si>
    <t>NOT actually used in v3.0 logic — phantom input</t>
  </si>
  <si>
    <t>Safety Stock %</t>
  </si>
  <si>
    <t>Target end-of-month inventory as % of that month adj demand</t>
  </si>
  <si>
    <t>Warehousing $/unit/mo</t>
  </si>
  <si>
    <t>Insurance % of inv value</t>
  </si>
  <si>
    <t>Not used in v3.0 carrying cost calc — phantom input</t>
  </si>
  <si>
    <t>Cost of Capital %</t>
  </si>
  <si>
    <t>Spoilage rate Bars (%/mo)</t>
  </si>
  <si>
    <t>Spoilage rate Elec (%/mo)</t>
  </si>
  <si>
    <t>Spoilage cost multiplier</t>
  </si>
  <si>
    <t>3x: covers unit loss + production cost + disposal</t>
  </si>
  <si>
    <t>Carrying cost rate</t>
  </si>
  <si>
    <t>Applied to warehousing $ × units; insurance/CoC inputs unused</t>
  </si>
  <si>
    <t>LABOR &amp; OVERHEAD</t>
  </si>
  <si>
    <t>Role</t>
  </si>
  <si>
    <t>Headcount</t>
  </si>
  <si>
    <t>Rate $/hr</t>
  </si>
  <si>
    <t>Hours/Run</t>
  </si>
  <si>
    <t>Variable?</t>
  </si>
  <si>
    <t>Production Operator</t>
  </si>
  <si>
    <t>Yes</t>
  </si>
  <si>
    <t>QA Inspector</t>
  </si>
  <si>
    <t>Warehouse</t>
  </si>
  <si>
    <t>Production Manager</t>
  </si>
  <si>
    <t>No</t>
  </si>
  <si>
    <t>Total labor cost per run</t>
  </si>
  <si>
    <t>Sum(headcount × rate × hours)</t>
  </si>
  <si>
    <t>Direct labor $/unit (fallback)</t>
  </si>
  <si>
    <t>Used only if laborRoles empty</t>
  </si>
  <si>
    <t>Fixed Overhead $/mo</t>
  </si>
  <si>
    <t>Equipment Amort $/mo</t>
  </si>
  <si>
    <t>G&amp;A $/mo</t>
  </si>
  <si>
    <t>LEGACY PRICING (reference only, NOT used in v3.0 — see CHANNELS below)</t>
  </si>
  <si>
    <t>Bar MSRP</t>
  </si>
  <si>
    <t>Bar Trade/Wholesale</t>
  </si>
  <si>
    <t>Electrolyte MSRP</t>
  </si>
  <si>
    <t>Electrolyte Trade</t>
  </si>
  <si>
    <t>DTC Fulfillment $/unit (legacy)</t>
  </si>
  <si>
    <t>Wholesale Freight $/unit (legacy)</t>
  </si>
  <si>
    <t>Marketing % of revenue (legacy)</t>
  </si>
  <si>
    <t>Marketing fixed annual (legacy)</t>
  </si>
  <si>
    <t>CHANNELS (6 channels — drives v3.0 revenue + channel costs)</t>
  </si>
  <si>
    <t>Channel</t>
  </si>
  <si>
    <t>Active</t>
  </si>
  <si>
    <t>%Alloc</t>
  </si>
  <si>
    <t>Bar Price</t>
  </si>
  <si>
    <t>Elec Price</t>
  </si>
  <si>
    <t>Cost/Unit</t>
  </si>
  <si>
    <t>Ramp Months</t>
  </si>
  <si>
    <t>Max Monthly Units</t>
  </si>
  <si>
    <t>DTC (Website)</t>
  </si>
  <si>
    <t>Amazon</t>
  </si>
  <si>
    <t>Big Box Retail</t>
  </si>
  <si>
    <t>Natural/Specialty</t>
  </si>
  <si>
    <t>Vitamin Shops</t>
  </si>
  <si>
    <t>Distributors</t>
  </si>
  <si>
    <t>Total active %alloc</t>
  </si>
  <si>
    <t>Should sum to 100% — flagged if not</t>
  </si>
  <si>
    <t>CO-MANUFACTURER PRICING (7 tiers)</t>
  </si>
  <si>
    <t>Tier #</t>
  </si>
  <si>
    <t>Label</t>
  </si>
  <si>
    <t>Min Vol Threshold</t>
  </si>
  <si>
    <t>Mid Volume</t>
  </si>
  <si>
    <t>Bar $/unit</t>
  </si>
  <si>
    <t>Elec $/unit</t>
  </si>
  <si>
    <t>Labor Scale</t>
  </si>
  <si>
    <t>1–999</t>
  </si>
  <si>
    <t>1K–10K</t>
  </si>
  <si>
    <t>10K–100K</t>
  </si>
  <si>
    <t>100K–500K</t>
  </si>
  <si>
    <t>500K–1M</t>
  </si>
  <si>
    <t>1M–5M</t>
  </si>
  <si>
    <t>5M+</t>
  </si>
  <si>
    <t>GROWTH RATES &amp; ANNUAL OPEX (by year)</t>
  </si>
  <si>
    <t>Line</t>
  </si>
  <si>
    <t>Y1</t>
  </si>
  <si>
    <t>Y2</t>
  </si>
  <si>
    <t>Y3</t>
  </si>
  <si>
    <t>Y4</t>
  </si>
  <si>
    <t>Y5</t>
  </si>
  <si>
    <t>Growth rate (vs prior year)</t>
  </si>
  <si>
    <t>Year 1 = base; Y2+ = % increase</t>
  </si>
  <si>
    <t>Marketing $/yr</t>
  </si>
  <si>
    <t>Payroll $/yr</t>
  </si>
  <si>
    <t>BD/Sales $/yr</t>
  </si>
  <si>
    <t>Clinical &amp; IP $/yr</t>
  </si>
  <si>
    <t>Overhead multiplier</t>
  </si>
  <si>
    <t>Ingredient Licensing Rev $/yr</t>
  </si>
  <si>
    <t>Licensing COGS %</t>
  </si>
  <si>
    <t>25% COGS → 75% gross margin on ingredient licensing</t>
  </si>
  <si>
    <t>Payroll Y1 (legacy)</t>
  </si>
  <si>
    <t>Payroll start month</t>
  </si>
  <si>
    <t>BAR RAW MATERIALS (BOM) — note many qty=0 placeholders</t>
  </si>
  <si>
    <t>Material</t>
  </si>
  <si>
    <t>Qty/unit (lb)</t>
  </si>
  <si>
    <t>$/lb T1</t>
  </si>
  <si>
    <t>$/lb T2</t>
  </si>
  <si>
    <t>$/lb T3</t>
  </si>
  <si>
    <t>MOQ</t>
  </si>
  <si>
    <t>Flavoring Orig</t>
  </si>
  <si>
    <t>Flavoring Berry</t>
  </si>
  <si>
    <t>Wrapper</t>
  </si>
  <si>
    <t>Each, not lb</t>
  </si>
  <si>
    <t>Outer Box</t>
  </si>
  <si>
    <t>Whey Protein</t>
  </si>
  <si>
    <t>Milk Protein Isolate</t>
  </si>
  <si>
    <t>PLACEHOLDER — qty=0</t>
  </si>
  <si>
    <t>Tapioca Fiber</t>
  </si>
  <si>
    <t>IMO</t>
  </si>
  <si>
    <t>Vegetable Glycerin</t>
  </si>
  <si>
    <t>Cocoa Butter</t>
  </si>
  <si>
    <t>Sunflower Lecithin</t>
  </si>
  <si>
    <t>Stevia Reb M</t>
  </si>
  <si>
    <t>Salt</t>
  </si>
  <si>
    <t>Cocoa Soy Crisp</t>
  </si>
  <si>
    <t>ELECTROLYTE RAW MATERIALS (BOM)</t>
  </si>
  <si>
    <t>Ascorbic Acid</t>
  </si>
  <si>
    <t>Monch Fiber</t>
  </si>
  <si>
    <t>Proprietary water-soluble fiber</t>
  </si>
  <si>
    <t>Citric Acid</t>
  </si>
  <si>
    <t>Potassium Cl</t>
  </si>
  <si>
    <t>Magnesium Malate</t>
  </si>
  <si>
    <t>Purified Stevia</t>
  </si>
  <si>
    <t>Flavoring</t>
  </si>
  <si>
    <t>Sachet Pkg</t>
  </si>
  <si>
    <t>Y1 MONTHLY DEMAND &amp; SEASONALITY</t>
  </si>
  <si>
    <t>Month</t>
  </si>
  <si>
    <t>Bar Base Demand</t>
  </si>
  <si>
    <t>Elec Base Demand</t>
  </si>
  <si>
    <t>Bar Season Idx</t>
  </si>
  <si>
    <t>Elec Season Idx</t>
  </si>
  <si>
    <t>Jan</t>
  </si>
  <si>
    <t>Feb</t>
  </si>
  <si>
    <t>Mar</t>
  </si>
  <si>
    <t>Apr</t>
  </si>
  <si>
    <t>May</t>
  </si>
  <si>
    <t>Jun</t>
  </si>
  <si>
    <t>Jul</t>
  </si>
  <si>
    <t>Aug</t>
  </si>
  <si>
    <t>Sep</t>
  </si>
  <si>
    <t>Oct</t>
  </si>
  <si>
    <t>Nov</t>
  </si>
  <si>
    <t>Dec</t>
  </si>
  <si>
    <t>Annual base totals</t>
  </si>
  <si>
    <t>Avg seasonality</t>
  </si>
  <si>
    <t>LAUNCH / PRE-LAUNCH EXPENSES</t>
  </si>
  <si>
    <t>Item</t>
  </si>
  <si>
    <t>Cost</t>
  </si>
  <si>
    <t>Month (rel)</t>
  </si>
  <si>
    <t>Kosher Certification</t>
  </si>
  <si>
    <t>Factory certification</t>
  </si>
  <si>
    <t>Clean Room Buildout</t>
  </si>
  <si>
    <t>GMP clean rooms</t>
  </si>
  <si>
    <t>Factory Inventory Min</t>
  </si>
  <si>
    <t>5 tons minimum</t>
  </si>
  <si>
    <t>Bar Recipe Dev (3 flavors)</t>
  </si>
  <si>
    <t>3 flavor formulations</t>
  </si>
  <si>
    <t>Branding &amp; Design</t>
  </si>
  <si>
    <t>Package design, brand identity</t>
  </si>
  <si>
    <t>Legal &amp; Regulatory</t>
  </si>
  <si>
    <t>FDA, labeling compliance</t>
  </si>
  <si>
    <t>Total startup capex</t>
  </si>
  <si>
    <t>FUNDING &amp; CAPITAL STRUCTURE</t>
  </si>
  <si>
    <t>Starting Cash</t>
  </si>
  <si>
    <t>Equity Raised</t>
  </si>
  <si>
    <t>Debt Amount</t>
  </si>
  <si>
    <t>Debt Rate (annual)</t>
  </si>
  <si>
    <t>Debt Term (months)</t>
  </si>
  <si>
    <t>ONGOING COMMITMENTS</t>
  </si>
  <si>
    <t>Name</t>
  </si>
  <si>
    <t>Type</t>
  </si>
  <si>
    <t>Monthly $</t>
  </si>
  <si>
    <t>Term (mo)</t>
  </si>
  <si>
    <t>Co-Manufacturer</t>
  </si>
  <si>
    <t>production</t>
  </si>
  <si>
    <t>Min 10K units/mo</t>
  </si>
  <si>
    <t>Warehouse Lease</t>
  </si>
  <si>
    <t>facility</t>
  </si>
  <si>
    <t>3,000 sq ft</t>
  </si>
  <si>
    <t>Equipment Lease</t>
  </si>
  <si>
    <t>equipment</t>
  </si>
  <si>
    <t>Packaging line</t>
  </si>
  <si>
    <t>Total commitment $/mo</t>
  </si>
  <si>
    <t>MINIMUM PRODUCTION RUN SIZES</t>
  </si>
  <si>
    <t>Min Bar Run (units)</t>
  </si>
  <si>
    <t>Min Elec Run (units)</t>
  </si>
  <si>
    <t>CALC_RM — Raw Material Cost Rollup</t>
  </si>
  <si>
    <t>Per-unit RM cost at each tier price = qty × $/lb</t>
  </si>
  <si>
    <t>BAR RAW MATERIALS</t>
  </si>
  <si>
    <t>Qty/unit</t>
  </si>
  <si>
    <t>Cost T1</t>
  </si>
  <si>
    <t>Cost T2</t>
  </si>
  <si>
    <t>Cost T3</t>
  </si>
  <si>
    <t>BAR RM TOTAL ($/unit)</t>
  </si>
  <si>
    <t>ELECTROLYTE RAW MATERIALS</t>
  </si>
  <si>
    <t>ELEC RM TOTAL ($/unit)</t>
  </si>
  <si>
    <t>MOQ COMMITMENT SUMMARY (at T1 prices)</t>
  </si>
  <si>
    <t>Product</t>
  </si>
  <si>
    <t>Sum of MOQ × T1</t>
  </si>
  <si>
    <t>Bars (RM only)</t>
  </si>
  <si>
    <t>Total $ if you buy every ingredient at its MOQ at T1 prices</t>
  </si>
  <si>
    <t>Electrolytes (RM only)</t>
  </si>
  <si>
    <t>CALC_COGS — 7-Tier COGS Waterfall (v3.0 original + corrected)</t>
  </si>
  <si>
    <t>Original total = v3.0 JS formula (includes overhead double-count). Corrected total = overhead removed from COGS (kept in OpEx only).</t>
  </si>
  <si>
    <t>BAR COGS WATERFALL — by Operating Volume Tier</t>
  </si>
  <si>
    <t>Tier</t>
  </si>
  <si>
    <t>Mid Vol</t>
  </si>
  <si>
    <t>RM</t>
  </si>
  <si>
    <t>Labor</t>
  </si>
  <si>
    <t>Overhead (v3.0)</t>
  </si>
  <si>
    <t>Co-Man</t>
  </si>
  <si>
    <t>Packaging</t>
  </si>
  <si>
    <t>TOTAL (v3.0)</t>
  </si>
  <si>
    <t>TOTAL (corrected)</t>
  </si>
  <si>
    <t>ELECTROLYTE COGS WATERFALL — by Operating Volume Tier</t>
  </si>
  <si>
    <t>NOTES</t>
  </si>
  <si>
    <t>• Original column matches v3.0 JS exactly. Use this for reconciliation.</t>
  </si>
  <si>
    <t>• Corrected column removes overhead from COGS (it remains in OpEx as the annualized fixed-OH line, so it doesn't disappear from the P&amp;L — it just isn't double-counted).</t>
  </si>
  <si>
    <t>• RM tier mapping (1-2 → T1 price, 3-4 → T2 price, 5-7 → T3 price) matches model.js line 39.</t>
  </si>
  <si>
    <t>• Labor formula = (sum of headcount×rate×hours)/midVol × tier scale factor. Matches laborAtTier() in model.js.</t>
  </si>
  <si>
    <t>• Packaging is currently 0 across all tiers because all barPackaging/elecPackaging items in constants.js have costPerUnit=0.</t>
  </si>
  <si>
    <t>CALC_MONTHLY — Y1 Monthly Engine</t>
  </si>
  <si>
    <t>Mirrors computeY1Monthly() in model.js (lines 83-125). Channel active in month m when m &gt; rampMonths (1-indexed). Caveat: demand allocated to a channel during its ramp period is lost — totalAlloc is computed over all active channels regardless of ramp state. This is a v3.0 behavior the spreadsheet faithfully reproduces.</t>
  </si>
  <si>
    <t>Total Active %Alloc:</t>
  </si>
  <si>
    <t>Sum of pctAlloc where channel.active="Yes". Normalizer for per-channel allocation.</t>
  </si>
  <si>
    <t>Month #</t>
  </si>
  <si>
    <t>Y1 TOTAL</t>
  </si>
  <si>
    <t>Month Name</t>
  </si>
  <si>
    <t>Bar Adj Demand (Base × Season)</t>
  </si>
  <si>
    <t>Elec Adj Demand (Base × Season)</t>
  </si>
  <si>
    <t>INVENTORY &amp; PRODUCTION — BARS</t>
  </si>
  <si>
    <t>Bar Beg Inv</t>
  </si>
  <si>
    <t>Bar Safety Target</t>
  </si>
  <si>
    <t>Bar Production</t>
  </si>
  <si>
    <t>Bar Spoilage (units)</t>
  </si>
  <si>
    <t>Bar End Inv</t>
  </si>
  <si>
    <t>Bar MOQ Alert</t>
  </si>
  <si>
    <t>INVENTORY &amp; PRODUCTION — ELECTROLYTES</t>
  </si>
  <si>
    <t>Elec Beg Inv</t>
  </si>
  <si>
    <t>Elec Safety Target</t>
  </si>
  <si>
    <t>Elec Production</t>
  </si>
  <si>
    <t>Elec Spoilage (units)</t>
  </si>
  <si>
    <t>Elec End Inv</t>
  </si>
  <si>
    <t>Elec MOQ Alert</t>
  </si>
  <si>
    <t>CHANNEL ALLOCATION &amp; REVENUE (with ramp + cap enforced)</t>
  </si>
  <si>
    <t>— DTC (Website) —</t>
  </si>
  <si>
    <t>Active:</t>
  </si>
  <si>
    <t>Ramp:</t>
  </si>
  <si>
    <t>Max/mo:</t>
  </si>
  <si>
    <t xml:space="preserve">  Bar Units</t>
  </si>
  <si>
    <t xml:space="preserve">  Elec Units</t>
  </si>
  <si>
    <t xml:space="preserve">  Revenue</t>
  </si>
  <si>
    <t xml:space="preserve">  Channel Costs</t>
  </si>
  <si>
    <t>— Amazon —</t>
  </si>
  <si>
    <t>— Big Box Retail —</t>
  </si>
  <si>
    <t>— Natural/Specialty —</t>
  </si>
  <si>
    <t>— Vitamin Shops —</t>
  </si>
  <si>
    <t>— Distributors —</t>
  </si>
  <si>
    <t>MONTHLY SUMMARY</t>
  </si>
  <si>
    <t>Gross Revenue</t>
  </si>
  <si>
    <t>Returns (2% gross)</t>
  </si>
  <si>
    <t>Net Revenue</t>
  </si>
  <si>
    <t>Total Channel Costs</t>
  </si>
  <si>
    <t>Payroll (monthly Y1)</t>
  </si>
  <si>
    <t>Note: 'Net Revenue' here (sum of monthly) will be SLIGHTLY LOWER than the annual P&amp;L revenue on CALC_PL, because monthly enforces channel ramp delays while the annual calc does not. This is a v3.0 inconsistency the spreadsheet preserves. AUDIT tab will quantify the gap.</t>
  </si>
  <si>
    <t>CALC_PL — 5-Year P&amp;L (Bars + Ingredient Licensing)</t>
  </si>
  <si>
    <t>Mirrors model.js lines 144-226. Uses v3.0 ORIGINAL bar/elec COGS (col I on CALC_COGS) so this P&amp;L reproduces the deck. Corrected COGS (col K on CALC_COGS, no overhead double-count) gives ~$30-50K higher EBITDA/yr at scale — shown in AUDIT (Pass 3). Bars revenue ignores channel ramp+cap (per model.js); use CALC_MONTHLY Y1 Total for ramp-aware Y1 revenue.</t>
  </si>
  <si>
    <t>Line Item</t>
  </si>
  <si>
    <t>Year 1</t>
  </si>
  <si>
    <t>Year 2</t>
  </si>
  <si>
    <t>Year 3</t>
  </si>
  <si>
    <t>Year 4</t>
  </si>
  <si>
    <t>Year 5</t>
  </si>
  <si>
    <t>5-Yr Total</t>
  </si>
  <si>
    <t>Cumulative Growth Factor</t>
  </si>
  <si>
    <t>Bar Units</t>
  </si>
  <si>
    <t>Elec Units</t>
  </si>
  <si>
    <t>Total Units</t>
  </si>
  <si>
    <t>Operating Tier</t>
  </si>
  <si>
    <t>Bar COGS/Unit (v3.0)</t>
  </si>
  <si>
    <t>Elec COGS/Unit (v3.0)</t>
  </si>
  <si>
    <t>REVENUE</t>
  </si>
  <si>
    <t>Bars Gross Revenue (annual, no ramp/cap)</t>
  </si>
  <si>
    <t>Returns</t>
  </si>
  <si>
    <t>Bars Net Revenue</t>
  </si>
  <si>
    <t>Ingredient Licensing Revenue</t>
  </si>
  <si>
    <t>TOTAL NET REVENUE</t>
  </si>
  <si>
    <t>COGS</t>
  </si>
  <si>
    <t>Bars COGS</t>
  </si>
  <si>
    <t>Licensing COGS</t>
  </si>
  <si>
    <t>TOTAL COGS</t>
  </si>
  <si>
    <t>GROSS PROFIT</t>
  </si>
  <si>
    <t>Gross Margin %</t>
  </si>
  <si>
    <t>OPEX</t>
  </si>
  <si>
    <t>Channel Costs</t>
  </si>
  <si>
    <t>Fixed Overhead</t>
  </si>
  <si>
    <t>Marketing</t>
  </si>
  <si>
    <t>Payroll</t>
  </si>
  <si>
    <t>BD/Sales</t>
  </si>
  <si>
    <t>Clinical &amp; IP</t>
  </si>
  <si>
    <t>G&amp;A</t>
  </si>
  <si>
    <t>Carrying Cost</t>
  </si>
  <si>
    <t>Spoilage Cost</t>
  </si>
  <si>
    <t>Commitments</t>
  </si>
  <si>
    <t>Debt Service</t>
  </si>
  <si>
    <t>TOTAL OPEX</t>
  </si>
  <si>
    <t>EBITDA</t>
  </si>
  <si>
    <t>EBITDA Margin %</t>
  </si>
  <si>
    <t>Cumulative EBITDA</t>
  </si>
  <si>
    <t>Simple Cash Balance (EBITDA-as-cash)</t>
  </si>
  <si>
    <t>No working-capital changes. Real cash projection in CALC_CASH (Pass 3).</t>
  </si>
  <si>
    <t>CALC_CASH — 60-Month Cash Flow with Working Capital</t>
  </si>
  <si>
    <t>Proper 60-month cash flow that v3.0 does NOT compute (v3.0 just spreads annual EBITDA / 12). Adds working-capital changes: receivables (AR), inventory build, payables (AP). Y1 pulls actual monthly seasonality from CALC_MONTHLY. Y2-Y5 smooth annual P&amp;L / 12. OpEx smoothed annually. Initial cash = starting cash + equity raised + debt - startup capex (booked at month 0).</t>
  </si>
  <si>
    <t>ASSUMPTIONS (edit these to test sensitivity)</t>
  </si>
  <si>
    <t>AR Days (blended)</t>
  </si>
  <si>
    <t>DTC ~3d, Amazon ~14d, retail/distributors 30-60d. 25d blended default.</t>
  </si>
  <si>
    <t>Inventory Days</t>
  </si>
  <si>
    <t>45d typical for CPG (safety stock + lead time).</t>
  </si>
  <si>
    <t>AP Days</t>
  </si>
  <si>
    <t>Net 30 typical for co-man + raw materials.</t>
  </si>
  <si>
    <t>Total Initial Capital</t>
  </si>
  <si>
    <t>Less: Startup Capex</t>
  </si>
  <si>
    <t>Net Starting Cash</t>
  </si>
  <si>
    <t>Mo#</t>
  </si>
  <si>
    <t>Year</t>
  </si>
  <si>
    <t>M</t>
  </si>
  <si>
    <t>Net Rev</t>
  </si>
  <si>
    <t>OpEx</t>
  </si>
  <si>
    <t>AR Bal</t>
  </si>
  <si>
    <t>ΔAR</t>
  </si>
  <si>
    <t>Inv Bal</t>
  </si>
  <si>
    <t>ΔInv</t>
  </si>
  <si>
    <t>AP Bal</t>
  </si>
  <si>
    <t>ΔAP</t>
  </si>
  <si>
    <t>Net Cash Δ</t>
  </si>
  <si>
    <t>Beg Cash</t>
  </si>
  <si>
    <t>End Cash</t>
  </si>
  <si>
    <t>Min Cash</t>
  </si>
  <si>
    <t>Cum EBITDA</t>
  </si>
  <si>
    <t>BE Mo</t>
  </si>
  <si>
    <t>KEY METRICS</t>
  </si>
  <si>
    <t>Peak Cash Need (lowest End Cash)</t>
  </si>
  <si>
    <t>Month # of Peak Cash Need</t>
  </si>
  <si>
    <t>Cash at end of Y5</t>
  </si>
  <si>
    <t>Y1 Trough Cash</t>
  </si>
  <si>
    <t>Months 1-12</t>
  </si>
  <si>
    <t>Y2 Trough Cash</t>
  </si>
  <si>
    <t>Months 13-24 (deck claim: $968K)</t>
  </si>
  <si>
    <t>Total Capital Needed</t>
  </si>
  <si>
    <t>Startup capex + max negative cash position</t>
  </si>
  <si>
    <t>Cumulative EBITDA Breakeven Month</t>
  </si>
  <si>
    <t>First month where running cumulative EBITDA turns positive</t>
  </si>
  <si>
    <t>DASHBOARD — Deck Claims Sourced to Formulas</t>
  </si>
  <si>
    <t>Every quantitative claim in the pitch deck, traced to a live formula. Workbook column is computed from current INPUTS. Verdict: ✓ matches deck | ⚠ minor caveat | ✗ contradicted by model | i informational.</t>
  </si>
  <si>
    <t>Metric</t>
  </si>
  <si>
    <t>Deck Claim</t>
  </si>
  <si>
    <t>Workbook</t>
  </si>
  <si>
    <t>Verdict</t>
  </si>
  <si>
    <t>Source</t>
  </si>
  <si>
    <t>TOP-LINE FINANCIALS</t>
  </si>
  <si>
    <t>Y1 Net Revenue</t>
  </si>
  <si>
    <t>$299K</t>
  </si>
  <si>
    <t>✓</t>
  </si>
  <si>
    <t>CALC_PL!B19</t>
  </si>
  <si>
    <t>Y2 Net Revenue</t>
  </si>
  <si>
    <t>$1.25M</t>
  </si>
  <si>
    <t>CALC_PL!C19</t>
  </si>
  <si>
    <t>Y3 Net Revenue</t>
  </si>
  <si>
    <t>$4.5M</t>
  </si>
  <si>
    <t>CALC_PL!D19</t>
  </si>
  <si>
    <t>Y4 Net Revenue</t>
  </si>
  <si>
    <t>$10.5M</t>
  </si>
  <si>
    <t>CALC_PL!E19</t>
  </si>
  <si>
    <t>Y5 Net Revenue</t>
  </si>
  <si>
    <t>$22M</t>
  </si>
  <si>
    <t>CALC_PL!F19</t>
  </si>
  <si>
    <t>5-Year Cumulative Revenue</t>
  </si>
  <si>
    <t>$38.5M</t>
  </si>
  <si>
    <t>CALC_PL!G19</t>
  </si>
  <si>
    <t>PROFITABILITY</t>
  </si>
  <si>
    <t>Y1 EBITDA</t>
  </si>
  <si>
    <t>-$616K</t>
  </si>
  <si>
    <t>CALC_PL!B42</t>
  </si>
  <si>
    <t>Y2 EBITDA</t>
  </si>
  <si>
    <t>-$784K</t>
  </si>
  <si>
    <t>CALC_PL!C42</t>
  </si>
  <si>
    <t>Y3 EBITDA</t>
  </si>
  <si>
    <t>+$599K</t>
  </si>
  <si>
    <t>CALC_PL!D42</t>
  </si>
  <si>
    <t>First year with positive annual EBITDA</t>
  </si>
  <si>
    <t>Y4 EBITDA</t>
  </si>
  <si>
    <t>+$3.5M</t>
  </si>
  <si>
    <t>CALC_PL!E42</t>
  </si>
  <si>
    <t>Y5 EBITDA</t>
  </si>
  <si>
    <t>+$9.9M</t>
  </si>
  <si>
    <t>CALC_PL!F42</t>
  </si>
  <si>
    <t>5-Year Cumulative EBITDA</t>
  </si>
  <si>
    <t>~$12.6M</t>
  </si>
  <si>
    <t>CALC_PL!G42</t>
  </si>
  <si>
    <t>Y3 Gross Margin</t>
  </si>
  <si>
    <t>68%</t>
  </si>
  <si>
    <t>CALC_PL!D26</t>
  </si>
  <si>
    <t>Y5 Gross Margin</t>
  </si>
  <si>
    <t>72%</t>
  </si>
  <si>
    <t>CALC_PL!F26</t>
  </si>
  <si>
    <t>Y5 EBITDA Margin</t>
  </si>
  <si>
    <t>45%</t>
  </si>
  <si>
    <t>CALC_PL!F43</t>
  </si>
  <si>
    <t>UNIT ECONOMICS (BARS)</t>
  </si>
  <si>
    <t>Bar MSRP (DTC)</t>
  </si>
  <si>
    <t>$3.49</t>
  </si>
  <si>
    <t>INPUTS (barMSRP)</t>
  </si>
  <si>
    <t>Bar COGS @ 10K-100K (T3, v3.0)</t>
  </si>
  <si>
    <t>$1.83</t>
  </si>
  <si>
    <t>CALC_COGS!I (T3)</t>
  </si>
  <si>
    <t>Matches deck OpEx footnote</t>
  </si>
  <si>
    <t>Bar COGS @ 1M+ (T6, v3.0)</t>
  </si>
  <si>
    <t>$1.34</t>
  </si>
  <si>
    <t>CALC_COGS!I (T6)</t>
  </si>
  <si>
    <t>Bar COGS @ 25K (deck unit-econ slide)</t>
  </si>
  <si>
    <t>$1.59</t>
  </si>
  <si>
    <t>✗</t>
  </si>
  <si>
    <t>Deck unit-econ slide says $1.59; model produces $1.83 at T3. Internal deck inconsistency.</t>
  </si>
  <si>
    <t>Bar COGS @ 100K (deck unit-econ slide)</t>
  </si>
  <si>
    <t>$1.35</t>
  </si>
  <si>
    <t>CALC_COGS!I (T4)</t>
  </si>
  <si>
    <t>Deck says $1.35; model produces $1.64 at T4. Same inconsistency.</t>
  </si>
  <si>
    <t>CASH FLOW</t>
  </si>
  <si>
    <t>Y2 Cash Trough</t>
  </si>
  <si>
    <t>$968K</t>
  </si>
  <si>
    <t>⚠</t>
  </si>
  <si>
    <t>CALC_CASH (key metric)</t>
  </si>
  <si>
    <t>v3.0 produces ~$968K via EBITDA/12. Proper cash flow with WC may differ.</t>
  </si>
  <si>
    <t>Y5 Cash Balance</t>
  </si>
  <si>
    <t>~$15M</t>
  </si>
  <si>
    <t>Cumulative cash with WC changes</t>
  </si>
  <si>
    <t>Total Capital Need</t>
  </si>
  <si>
    <t>$2.5M raise sufficient</t>
  </si>
  <si>
    <t>Compare against $100K starting + $2.5M raise = $2.6M available</t>
  </si>
  <si>
    <t>Cumulative Breakeven Month</t>
  </si>
  <si>
    <t>~Y4</t>
  </si>
  <si>
    <t>First month where running cumulative EBITDA crosses zero</t>
  </si>
  <si>
    <t>Peak Cash Need (lowest balance)</t>
  </si>
  <si>
    <t>-</t>
  </si>
  <si>
    <t>i</t>
  </si>
  <si>
    <t>Lowest single-month end-of-month cash position over 60 months</t>
  </si>
  <si>
    <t>OPERATIONS</t>
  </si>
  <si>
    <t>Y1 Bars Units (deck conflates units)</t>
  </si>
  <si>
    <t>135K</t>
  </si>
  <si>
    <t>CALC_PL B7+B8</t>
  </si>
  <si>
    <t>Deck conflates "bars" with bars+electrolytes. Bars alone = ~71K; combined = ~138K.</t>
  </si>
  <si>
    <t>Y5 Bars Units (deck conflates units)</t>
  </si>
  <si>
    <t>1.81M</t>
  </si>
  <si>
    <t>CALC_PL F7+F8</t>
  </si>
  <si>
    <t>Bars alone Y5 = 948K. Combined = 1.84M.</t>
  </si>
  <si>
    <t>Y3 Operating Tier</t>
  </si>
  <si>
    <t>Tier 5</t>
  </si>
  <si>
    <t>CALC_PL!D10</t>
  </si>
  <si>
    <t>687K total units → tier 5 (500K-1M)</t>
  </si>
  <si>
    <t>SEED FUNDING</t>
  </si>
  <si>
    <t>Seed Raise</t>
  </si>
  <si>
    <t>$2.5M</t>
  </si>
  <si>
    <t>$100K</t>
  </si>
  <si>
    <t>Startup Capex</t>
  </si>
  <si>
    <t>~$233K</t>
  </si>
  <si>
    <t>INPUTS (sum of launch)</t>
  </si>
  <si>
    <t>Sum of pre-launch expense line items</t>
  </si>
  <si>
    <t>Returns / Allowances</t>
  </si>
  <si>
    <t>2%</t>
  </si>
  <si>
    <t>AUDIT — Divergences and Bug Fixes Quantified</t>
  </si>
  <si>
    <t>Side-by-side reconciliation: v3.0 vs corrected. Review before any investor-facing use.</t>
  </si>
  <si>
    <t>A. Y1 RAMP-LOSS QUANTIFICATION</t>
  </si>
  <si>
    <t>v3.0 annual P&amp;L ignores channel ramp delays. totalAlloc is summed over all active channels even if some haven't ramped yet, so demand allocated to unramped channels is silently dropped. Monthly engine handles this correctly. Y1 impact:</t>
  </si>
  <si>
    <t>Y1 Bars Net Revenue (annual P&amp;L)</t>
  </si>
  <si>
    <t>Annual calc - ramp ignored</t>
  </si>
  <si>
    <t>Y1 Bars Net Revenue (sum of monthly)</t>
  </si>
  <si>
    <t>Monthly engine - ramp enforced</t>
  </si>
  <si>
    <t>Ramp Loss ($)</t>
  </si>
  <si>
    <t>Annual figure overstates monthly reality by this amount</t>
  </si>
  <si>
    <t>Ramp Loss (% of annual revenue)</t>
  </si>
  <si>
    <t>B. COGS OVERHEAD DOUBLE-COUNT IMPACT</t>
  </si>
  <si>
    <t>v3.0 includes fixedOverhead in per-unit COGS (ohAtTier) AND in OpEx (annual fixed-OH line). Same $ counted twice. Corrected COGS removes overhead from per-unit (it remains in OpEx). Impact by tier:</t>
  </si>
  <si>
    <t>Bar v3.0</t>
  </si>
  <si>
    <t>Bar Corrected</t>
  </si>
  <si>
    <t>Diff</t>
  </si>
  <si>
    <t>Elec v3.0</t>
  </si>
  <si>
    <t>Elec Corrected</t>
  </si>
  <si>
    <t>Tier 1</t>
  </si>
  <si>
    <t>Tier 2</t>
  </si>
  <si>
    <t>Tier 3</t>
  </si>
  <si>
    <t>Tier 4</t>
  </si>
  <si>
    <t>Tier 6</t>
  </si>
  <si>
    <t>Tier 7</t>
  </si>
  <si>
    <t>YEAR-BY-YEAR EBITDA IMPACT IF COGS BUG FIXED</t>
  </si>
  <si>
    <t>5-Yr</t>
  </si>
  <si>
    <t>Bars COGS - v3.0 (current P&amp;L)</t>
  </si>
  <si>
    <t>Bars COGS - Corrected (no OH double-count)</t>
  </si>
  <si>
    <t>EBITDA Improvement from Fix</t>
  </si>
  <si>
    <t>Corrected EBITDA (if fix applied)</t>
  </si>
  <si>
    <t>EBITDA if v3.0 bug were fixed</t>
  </si>
  <si>
    <t>C. BREAKEVEN - TWO INTERPRETATIONS</t>
  </si>
  <si>
    <t>Deck claims "Y3 breakeven". Ambiguous between (a) first year with positive annual EBITDA - TRUE: Y3 +$599K, and (b) cumulative breakeven where cumulative profits cover cumulative losses - FALSE: cum EBITDA stays negative through Y3.</t>
  </si>
  <si>
    <t>Annual EBITDA</t>
  </si>
  <si>
    <t>Single-year breakeven</t>
  </si>
  <si>
    <t>First year with annual EBITDA &gt; 0</t>
  </si>
  <si>
    <t>Cumulative breakeven</t>
  </si>
  <si>
    <t>First year with cumulative EBITDA &gt; 0</t>
  </si>
  <si>
    <t>D. ALL KNOWN ISSUES INHERITED FROM v3.0</t>
  </si>
  <si>
    <t>⚠ FIX BEFORE PITCH</t>
  </si>
  <si>
    <t xml:space="preserve">   Description: fixedOverhead appears in both per-unit COGS (ohAtTier) and OpEx (annual fixed-OH). Same $ counted twice.</t>
  </si>
  <si>
    <t xml:space="preserve">   Status:      Quantified in Section B. Corrected EBITDA shown there.</t>
  </si>
  <si>
    <t>2. COGS overhead dimensionally broken</t>
  </si>
  <si>
    <t xml:space="preserve">   Description: Formula = fixedOverhead / midVol[tier]. Divides monthly $ by annual units. Magnitude arbitrary.</t>
  </si>
  <si>
    <t xml:space="preserve">   Status:      Removed by Fix #1.</t>
  </si>
  <si>
    <t>3. Channel ramp not enforced in annual P&amp;L</t>
  </si>
  <si>
    <t>⚠ DISCLOSE OR FIX</t>
  </si>
  <si>
    <t xml:space="preserve">   Description: Monthly engine respects rampMonths; annual calc does not. Annual P&amp;L overstates revenue vs sum-of-monthly.</t>
  </si>
  <si>
    <t xml:space="preserve">   Status:      Quantified in Section A. Y1 ~6% overstated; Y2+ less impact (channels fully ramped).</t>
  </si>
  <si>
    <t>4. v3.0 cash flow is cumulative EBITDA</t>
  </si>
  <si>
    <t>✓ FIXED IN THIS WORKBOOK</t>
  </si>
  <si>
    <t xml:space="preserve">   Description: No working capital, no AR/AP, no inventory build. The "$968K Y2 trough" comes from annual EBITDA / 12.</t>
  </si>
  <si>
    <t xml:space="preserve">   Status:      Replaced with proper monthly cash flow on CALC_CASH (AR/Inv/AP terms editable).</t>
  </si>
  <si>
    <t>5. Bar BOM 8 of 14 items placeholder qty=0</t>
  </si>
  <si>
    <t>⚠ EDIT BEFORE SCENARIO RUNS</t>
  </si>
  <si>
    <t xml:space="preserve">   Description: Milk Protein Isolate, Tapioca Fiber, IMO, Veg Glycerin, Cocoa Butter, Sunflower Lecithin, Salt, Cocoa Soy Crisp all qty=0 in constants.js.</t>
  </si>
  <si>
    <t xml:space="preserve">   Status:      BAR RM cost understated. Edit INPUTS rows for these items to enter real recipe quantities.</t>
  </si>
  <si>
    <t>6. Deck COGS off-model (unit-econ slide)</t>
  </si>
  <si>
    <t>✗ CONTRADICTION</t>
  </si>
  <si>
    <t xml:space="preserve">   Description: Deck unit-econ slide cites $1.59 @ 25K and $1.35 @ 100K. Model produces $1.83 and $1.64. Deck OpEx footnote uses correct v3.0 figures.</t>
  </si>
  <si>
    <t xml:space="preserve">   Status:      Internal inconsistency. Either update unit-econ slide to match v3.0, or update v3.0 to match the unit-econ claim.</t>
  </si>
  <si>
    <t>7. Channel max-monthly caps ignored in annual calc</t>
  </si>
  <si>
    <t>⚠ LATENT BUG</t>
  </si>
  <si>
    <t xml:space="preserve">   Description: computeChannelRevenue() only applies maxMonthlyUnits when month is specified. Annual P&amp;L ignores caps.</t>
  </si>
  <si>
    <t xml:space="preserve">   Status:      In current scenario caps do not bind. Worth flagging if scenarios change.</t>
  </si>
  <si>
    <t>8. Phantom inputs</t>
  </si>
  <si>
    <t>✓ DOCUMENTED</t>
  </si>
  <si>
    <t xml:space="preserve">   Description: targetDOI, insurancePct, costOfCapitalPct exist in INPUTS but model.js never references them.</t>
  </si>
  <si>
    <t xml:space="preserve">   Status:      Highlighted in INPUTS tab for transparency. No functional impact.</t>
  </si>
  <si>
    <t>9. "Y3 breakeven" claim is ambiguous</t>
  </si>
  <si>
    <t>⚠ DISCLOSE</t>
  </si>
  <si>
    <t xml:space="preserve">   Description: Deck says "breakeven Y3". True for single-year EBITDA (Y3 +$599K). False for cumulative (cum EBITDA stays negative through Y3, crosses positive in Y4).</t>
  </si>
  <si>
    <t xml:space="preserve">   Status:      See Section C above.</t>
  </si>
  <si>
    <t>10. v2.0 vs v3.0 mismatch (deck vs live calculator)</t>
  </si>
  <si>
    <t xml:space="preserve">   Description: Deck numbers come from v3.0 source code, but the live URL (monchmonch-calc.vercel.app) serves v2.0. An investor clicking the link sees a different model.</t>
  </si>
  <si>
    <t xml:space="preserve">   Status:      Either deploy v3.0 to that URL or remove the link from the deck.</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</si>
</sst>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0%\);\-"/>
    <numFmt numFmtId="165" formatCode="#,##0;\(#,##0\);\-"/>
    <numFmt numFmtId="166" formatCode="\$#,##0.00;&quot;($&quot;#,##0.00\);\-"/>
    <numFmt numFmtId="167" formatCode="\$#,##0;&quot;($&quot;#,##0\);\-"/>
    <numFmt numFmtId="168" formatCode="#,##0.00;\(#,##0.00\);\-"/>
    <numFmt numFmtId="169" formatCode="#,##0.0000;\(#,##0.0000\);\-"/>
    <numFmt numFmtId="170" formatCode="\$#,##0.0000;&quot;($&quot;#,##0.0000\);\-"/>
  </numFmts>
  <fonts count="15">
    <font>
      <sz val="11.0"/>
      <color theme="1"/>
      <name val="Calibri"/>
      <scheme val="minor"/>
    </font>
    <font>
      <b/>
      <sz val="14.0"/>
      <color rgb="FF1F4E78"/>
      <name val="Arial"/>
    </font>
    <font>
      <b/>
      <sz val="10.0"/>
      <color rgb="FF000000"/>
      <name val="Arial"/>
    </font>
    <font>
      <sz val="10.0"/>
      <color rgb="FF000000"/>
      <name val="Arial"/>
    </font>
    <font>
      <b/>
      <sz val="12.0"/>
      <color rgb="FF1F4E78"/>
      <name val="Arial"/>
    </font>
    <font>
      <sz val="11.0"/>
      <color theme="1"/>
      <name val="Calibri"/>
    </font>
    <font>
      <b/>
      <sz val="10.0"/>
      <color rgb="FFFFFFFF"/>
      <name val="Arial"/>
    </font>
    <font>
      <sz val="10.0"/>
      <color rgb="FF0000FF"/>
      <name val="Arial"/>
    </font>
    <font>
      <i/>
      <sz val="9.0"/>
      <color rgb="FF595959"/>
      <name val="Arial"/>
    </font>
    <font>
      <i/>
      <sz val="10.0"/>
      <color rgb="FF000000"/>
      <name val="Arial"/>
    </font>
    <font>
      <sz val="10.0"/>
      <color rgb="FF008000"/>
      <name val="Arial"/>
    </font>
    <font>
      <b/>
      <sz val="10.0"/>
      <color rgb="FF008000"/>
      <name val="Arial"/>
    </font>
    <font>
      <b/>
      <sz val="10.0"/>
      <color rgb="FFCC0000"/>
      <name val="Arial"/>
    </font>
    <font>
      <b/>
      <sz val="10.0"/>
      <color rgb="FFD97706"/>
      <name val="Arial"/>
    </font>
    <font>
      <b/>
      <sz val="10.0"/>
      <color rgb="FF595959"/>
      <name val="Arial"/>
    </font>
  </fonts>
  <fills count="6">
    <fill>
      <patternFill patternType="none"/>
    </fill>
    <fill>
      <patternFill patternType="lightGray"/>
    </fill>
    <fill>
      <patternFill patternType="solid">
        <fgColor rgb="FFD9E1F2"/>
        <bgColor rgb="FFD9E1F2"/>
      </patternFill>
    </fill>
    <fill>
      <patternFill patternType="solid">
        <fgColor rgb="FF1F4E78"/>
        <bgColor rgb="FF1F4E78"/>
      </patternFill>
    </fill>
    <fill>
      <patternFill patternType="solid">
        <fgColor rgb="FFFFE699"/>
        <bgColor rgb="FFFFE699"/>
      </patternFill>
    </fill>
    <fill>
      <patternFill patternType="solid">
        <fgColor rgb="FFF2F2F2"/>
        <bgColor rgb="FFF2F2F2"/>
      </patternFill>
    </fill>
  </fills>
  <borders count="3">
    <border/>
    <border>
      <left/>
      <right/>
      <top/>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horizontal="left" shrinkToFit="0" vertical="center" wrapText="0"/>
    </xf>
    <xf borderId="0" fillId="0" fontId="3" numFmtId="0" xfId="0" applyAlignment="1" applyFont="1">
      <alignment horizontal="left" shrinkToFit="0" vertical="top" wrapText="1"/>
    </xf>
    <xf borderId="0" fillId="0" fontId="3" numFmtId="0" xfId="0" applyAlignment="1" applyFont="1">
      <alignment horizontal="left" shrinkToFit="0" vertical="center" wrapText="0"/>
    </xf>
    <xf borderId="1" fillId="2" fontId="4" numFmtId="0" xfId="0" applyAlignment="1" applyBorder="1" applyFill="1" applyFont="1">
      <alignment shrinkToFit="0" vertical="bottom" wrapText="0"/>
    </xf>
    <xf borderId="1" fillId="2" fontId="5" numFmtId="0" xfId="0" applyAlignment="1" applyBorder="1" applyFont="1">
      <alignment shrinkToFit="0" vertical="bottom" wrapText="0"/>
    </xf>
    <xf borderId="2" fillId="3" fontId="6" numFmtId="0" xfId="0" applyAlignment="1" applyBorder="1" applyFill="1" applyFont="1">
      <alignment horizontal="center" shrinkToFit="0" vertical="center" wrapText="0"/>
    </xf>
    <xf borderId="0" fillId="0" fontId="3" numFmtId="0" xfId="0" applyAlignment="1" applyFont="1">
      <alignment shrinkToFit="0" vertical="bottom" wrapText="0"/>
    </xf>
    <xf borderId="0" fillId="0" fontId="7" numFmtId="164" xfId="0" applyAlignment="1" applyFont="1" applyNumberFormat="1">
      <alignment shrinkToFit="0" vertical="bottom" wrapText="0"/>
    </xf>
    <xf borderId="0" fillId="0" fontId="8" numFmtId="0" xfId="0" applyAlignment="1" applyFont="1">
      <alignment horizontal="left" shrinkToFit="0" vertical="top" wrapText="1"/>
    </xf>
    <xf borderId="1" fillId="4" fontId="7" numFmtId="165" xfId="0" applyAlignment="1" applyBorder="1" applyFill="1" applyFont="1" applyNumberFormat="1">
      <alignment shrinkToFit="0" vertical="bottom" wrapText="0"/>
    </xf>
    <xf borderId="0" fillId="0" fontId="7" numFmtId="166" xfId="0" applyAlignment="1" applyFont="1" applyNumberFormat="1">
      <alignment shrinkToFit="0" vertical="bottom" wrapText="0"/>
    </xf>
    <xf borderId="1" fillId="4" fontId="7" numFmtId="164" xfId="0" applyAlignment="1" applyBorder="1" applyFont="1" applyNumberFormat="1">
      <alignment shrinkToFit="0" vertical="bottom" wrapText="0"/>
    </xf>
    <xf borderId="0" fillId="0" fontId="7" numFmtId="165" xfId="0" applyAlignment="1" applyFont="1" applyNumberFormat="1">
      <alignment shrinkToFit="0" vertical="bottom" wrapText="0"/>
    </xf>
    <xf borderId="0" fillId="0" fontId="7" numFmtId="0" xfId="0" applyAlignment="1" applyFont="1">
      <alignment shrinkToFit="0" vertical="bottom" wrapText="0"/>
    </xf>
    <xf borderId="0" fillId="0" fontId="2" numFmtId="0" xfId="0" applyAlignment="1" applyFont="1">
      <alignment shrinkToFit="0" vertical="bottom" wrapText="0"/>
    </xf>
    <xf borderId="0" fillId="0" fontId="3" numFmtId="166" xfId="0" applyAlignment="1" applyFont="1" applyNumberFormat="1">
      <alignment shrinkToFit="0" vertical="bottom" wrapText="0"/>
    </xf>
    <xf borderId="0" fillId="0" fontId="7" numFmtId="167" xfId="0" applyAlignment="1" applyFont="1" applyNumberFormat="1">
      <alignment shrinkToFit="0" vertical="bottom" wrapText="0"/>
    </xf>
    <xf borderId="0" fillId="0" fontId="9" numFmtId="0" xfId="0" applyAlignment="1" applyFont="1">
      <alignment shrinkToFit="0" vertical="bottom" wrapText="0"/>
    </xf>
    <xf borderId="1" fillId="5" fontId="7" numFmtId="166" xfId="0" applyAlignment="1" applyBorder="1" applyFill="1" applyFont="1" applyNumberFormat="1">
      <alignment shrinkToFit="0" vertical="bottom" wrapText="0"/>
    </xf>
    <xf borderId="1" fillId="5" fontId="7" numFmtId="164" xfId="0" applyAlignment="1" applyBorder="1" applyFont="1" applyNumberFormat="1">
      <alignment shrinkToFit="0" vertical="bottom" wrapText="0"/>
    </xf>
    <xf borderId="1" fillId="5" fontId="7" numFmtId="167" xfId="0" applyAlignment="1" applyBorder="1" applyFont="1" applyNumberFormat="1">
      <alignment shrinkToFit="0" vertical="bottom" wrapText="0"/>
    </xf>
    <xf borderId="0" fillId="0" fontId="3" numFmtId="164" xfId="0" applyAlignment="1" applyFont="1" applyNumberFormat="1">
      <alignment shrinkToFit="0" vertical="bottom" wrapText="0"/>
    </xf>
    <xf borderId="0" fillId="0" fontId="7" numFmtId="168" xfId="0" applyAlignment="1" applyFont="1" applyNumberFormat="1">
      <alignment shrinkToFit="0" vertical="bottom" wrapText="0"/>
    </xf>
    <xf borderId="0" fillId="0" fontId="7" numFmtId="169" xfId="0" applyAlignment="1" applyFont="1" applyNumberFormat="1">
      <alignment shrinkToFit="0" vertical="bottom" wrapText="0"/>
    </xf>
    <xf borderId="0" fillId="0" fontId="7" numFmtId="170" xfId="0" applyAlignment="1" applyFont="1" applyNumberFormat="1">
      <alignment shrinkToFit="0" vertical="bottom" wrapText="0"/>
    </xf>
    <xf borderId="1" fillId="4" fontId="3" numFmtId="0" xfId="0" applyAlignment="1" applyBorder="1" applyFont="1">
      <alignment shrinkToFit="0" vertical="bottom" wrapText="0"/>
    </xf>
    <xf borderId="0" fillId="0" fontId="3" numFmtId="165" xfId="0" applyAlignment="1" applyFont="1" applyNumberFormat="1">
      <alignment shrinkToFit="0" vertical="bottom" wrapText="0"/>
    </xf>
    <xf borderId="0" fillId="0" fontId="3" numFmtId="168" xfId="0" applyAlignment="1" applyFont="1" applyNumberFormat="1">
      <alignment shrinkToFit="0" vertical="bottom" wrapText="0"/>
    </xf>
    <xf borderId="0" fillId="0" fontId="3" numFmtId="167" xfId="0" applyAlignment="1" applyFont="1" applyNumberFormat="1">
      <alignment shrinkToFit="0" vertical="bottom" wrapText="0"/>
    </xf>
    <xf borderId="0" fillId="0" fontId="8" numFmtId="0" xfId="0" applyAlignment="1" applyFont="1">
      <alignment shrinkToFit="0" vertical="bottom" wrapText="0"/>
    </xf>
    <xf borderId="0" fillId="0" fontId="10" numFmtId="0" xfId="0" applyAlignment="1" applyFont="1">
      <alignment shrinkToFit="0" vertical="bottom" wrapText="0"/>
    </xf>
    <xf borderId="0" fillId="0" fontId="10" numFmtId="169" xfId="0" applyAlignment="1" applyFont="1" applyNumberFormat="1">
      <alignment shrinkToFit="0" vertical="bottom" wrapText="0"/>
    </xf>
    <xf borderId="0" fillId="0" fontId="10" numFmtId="170" xfId="0" applyAlignment="1" applyFont="1" applyNumberFormat="1">
      <alignment shrinkToFit="0" vertical="bottom" wrapText="0"/>
    </xf>
    <xf borderId="0" fillId="0" fontId="3" numFmtId="170" xfId="0" applyAlignment="1" applyFont="1" applyNumberFormat="1">
      <alignment shrinkToFit="0" vertical="bottom" wrapText="0"/>
    </xf>
    <xf borderId="1" fillId="5" fontId="2" numFmtId="0" xfId="0" applyAlignment="1" applyBorder="1" applyFont="1">
      <alignment shrinkToFit="0" vertical="bottom" wrapText="0"/>
    </xf>
    <xf borderId="1" fillId="5" fontId="2" numFmtId="170" xfId="0" applyAlignment="1" applyBorder="1" applyFont="1" applyNumberFormat="1">
      <alignment shrinkToFit="0" vertical="bottom" wrapText="0"/>
    </xf>
    <xf borderId="0" fillId="0" fontId="10" numFmtId="167" xfId="0" applyAlignment="1" applyFont="1" applyNumberFormat="1">
      <alignment shrinkToFit="0" vertical="bottom" wrapText="0"/>
    </xf>
    <xf borderId="0" fillId="0" fontId="10" numFmtId="165" xfId="0" applyAlignment="1" applyFont="1" applyNumberFormat="1">
      <alignment shrinkToFit="0" vertical="bottom" wrapText="0"/>
    </xf>
    <xf borderId="1" fillId="4" fontId="10" numFmtId="170" xfId="0" applyAlignment="1" applyBorder="1" applyFont="1" applyNumberFormat="1">
      <alignment shrinkToFit="0" vertical="bottom" wrapText="0"/>
    </xf>
    <xf borderId="0" fillId="0" fontId="2" numFmtId="170" xfId="0" applyAlignment="1" applyFont="1" applyNumberFormat="1">
      <alignment shrinkToFit="0" vertical="bottom" wrapText="0"/>
    </xf>
    <xf borderId="0" fillId="0" fontId="10" numFmtId="164" xfId="0" applyAlignment="1" applyFont="1" applyNumberFormat="1">
      <alignment shrinkToFit="0" vertical="bottom" wrapText="0"/>
    </xf>
    <xf borderId="1" fillId="3" fontId="6" numFmtId="0" xfId="0" applyAlignment="1" applyBorder="1" applyFont="1">
      <alignment horizontal="center" shrinkToFit="0" vertical="center" wrapText="0"/>
    </xf>
    <xf borderId="0" fillId="0" fontId="5" numFmtId="0" xfId="0" applyAlignment="1" applyFont="1">
      <alignment horizontal="center" shrinkToFit="0" vertical="center" wrapText="0"/>
    </xf>
    <xf borderId="0" fillId="0" fontId="2" numFmtId="165" xfId="0" applyAlignment="1" applyFont="1" applyNumberFormat="1">
      <alignment shrinkToFit="0" vertical="bottom" wrapText="0"/>
    </xf>
    <xf borderId="0" fillId="0" fontId="5" numFmtId="0" xfId="0" applyAlignment="1" applyFont="1">
      <alignment horizontal="right" shrinkToFit="0" vertical="center" wrapText="0"/>
    </xf>
    <xf borderId="0" fillId="0" fontId="2" numFmtId="167" xfId="0" applyAlignment="1" applyFont="1" applyNumberFormat="1">
      <alignment shrinkToFit="0" vertical="bottom" wrapText="0"/>
    </xf>
    <xf borderId="1" fillId="5" fontId="2" numFmtId="167" xfId="0" applyAlignment="1" applyBorder="1" applyFont="1" applyNumberFormat="1">
      <alignment shrinkToFit="0" vertical="bottom" wrapText="0"/>
    </xf>
    <xf borderId="0" fillId="0" fontId="10" numFmtId="168" xfId="0" applyAlignment="1" applyFont="1" applyNumberFormat="1">
      <alignment shrinkToFit="0" vertical="bottom" wrapText="0"/>
    </xf>
    <xf borderId="1" fillId="5" fontId="3" numFmtId="165" xfId="0" applyAlignment="1" applyBorder="1" applyFont="1" applyNumberFormat="1">
      <alignment shrinkToFit="0" vertical="bottom" wrapText="0"/>
    </xf>
    <xf borderId="1" fillId="5" fontId="10" numFmtId="167" xfId="0" applyAlignment="1" applyBorder="1" applyFont="1" applyNumberFormat="1">
      <alignment shrinkToFit="0" vertical="bottom" wrapText="0"/>
    </xf>
    <xf borderId="1" fillId="5" fontId="3" numFmtId="167" xfId="0" applyAlignment="1" applyBorder="1" applyFont="1" applyNumberFormat="1">
      <alignment shrinkToFit="0" vertical="bottom" wrapText="0"/>
    </xf>
    <xf borderId="0" fillId="0" fontId="3" numFmtId="0" xfId="0" applyAlignment="1" applyFont="1">
      <alignment horizontal="right" shrinkToFit="0" vertical="center" wrapText="0"/>
    </xf>
    <xf borderId="0" fillId="0" fontId="10" numFmtId="167" xfId="0" applyAlignment="1" applyFont="1" applyNumberFormat="1">
      <alignment horizontal="right" shrinkToFit="0" vertical="center" wrapText="0"/>
    </xf>
    <xf borderId="0" fillId="0" fontId="11" numFmtId="0" xfId="0" applyAlignment="1" applyFont="1">
      <alignment horizontal="center" shrinkToFit="0" vertical="center" wrapText="0"/>
    </xf>
    <xf borderId="0" fillId="0" fontId="10" numFmtId="164" xfId="0" applyAlignment="1" applyFont="1" applyNumberFormat="1">
      <alignment horizontal="right" shrinkToFit="0" vertical="center" wrapText="0"/>
    </xf>
    <xf borderId="0" fillId="0" fontId="10" numFmtId="166" xfId="0" applyAlignment="1" applyFont="1" applyNumberFormat="1">
      <alignment horizontal="right" shrinkToFit="0" vertical="center" wrapText="0"/>
    </xf>
    <xf borderId="0" fillId="0" fontId="12" numFmtId="0" xfId="0" applyAlignment="1" applyFont="1">
      <alignment horizontal="center" shrinkToFit="0" vertical="center" wrapText="0"/>
    </xf>
    <xf borderId="0" fillId="0" fontId="13" numFmtId="0" xfId="0" applyAlignment="1" applyFont="1">
      <alignment horizontal="center" shrinkToFit="0" vertical="center" wrapText="0"/>
    </xf>
    <xf borderId="0" fillId="0" fontId="10" numFmtId="165" xfId="0" applyAlignment="1" applyFont="1" applyNumberFormat="1">
      <alignment horizontal="right" shrinkToFit="0" vertical="center" wrapText="0"/>
    </xf>
    <xf borderId="0" fillId="0" fontId="14" numFmtId="0" xfId="0" applyAlignment="1" applyFont="1">
      <alignment horizontal="center" shrinkToFit="0" vertical="center"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9.71"/>
    <col customWidth="1" min="2" max="2" width="90.0"/>
    <col customWidth="1" min="3" max="26" width="8.71"/>
  </cols>
  <sheetData>
    <row r="1" ht="21.75" customHeight="1">
      <c r="A1" s="1" t="s">
        <v>0</v>
      </c>
    </row>
    <row r="3">
      <c r="A3" s="2" t="s">
        <v>1</v>
      </c>
      <c r="B3" s="3" t="s">
        <v>2</v>
      </c>
    </row>
    <row r="4">
      <c r="A4" s="2" t="s">
        <v>3</v>
      </c>
      <c r="B4" s="3" t="s">
        <v>4</v>
      </c>
    </row>
    <row r="5">
      <c r="A5" s="2" t="s">
        <v>5</v>
      </c>
      <c r="B5" s="3" t="s">
        <v>6</v>
      </c>
    </row>
    <row r="6">
      <c r="A6" s="2" t="s">
        <v>7</v>
      </c>
      <c r="B6" s="3" t="s">
        <v>8</v>
      </c>
    </row>
    <row r="7">
      <c r="A7" s="4"/>
      <c r="B7" s="3"/>
    </row>
    <row r="8" ht="18.0" customHeight="1">
      <c r="A8" s="5" t="s">
        <v>9</v>
      </c>
      <c r="B8" s="6"/>
    </row>
    <row r="9">
      <c r="A9" s="4"/>
      <c r="B9" s="3" t="s">
        <v>10</v>
      </c>
    </row>
    <row r="10">
      <c r="A10" s="4"/>
      <c r="B10" s="3"/>
    </row>
    <row r="11" ht="18.0" customHeight="1">
      <c r="A11" s="5" t="s">
        <v>11</v>
      </c>
      <c r="B11" s="6"/>
    </row>
    <row r="12">
      <c r="A12" s="2" t="s">
        <v>12</v>
      </c>
      <c r="B12" s="3" t="s">
        <v>13</v>
      </c>
    </row>
    <row r="13">
      <c r="A13" s="2" t="s">
        <v>14</v>
      </c>
      <c r="B13" s="3" t="s">
        <v>15</v>
      </c>
    </row>
    <row r="14">
      <c r="A14" s="2" t="s">
        <v>16</v>
      </c>
      <c r="B14" s="3" t="s">
        <v>17</v>
      </c>
    </row>
    <row r="15">
      <c r="A15" s="2" t="s">
        <v>18</v>
      </c>
      <c r="B15" s="3" t="s">
        <v>19</v>
      </c>
    </row>
    <row r="16">
      <c r="A16" s="2" t="s">
        <v>20</v>
      </c>
      <c r="B16" s="3" t="s">
        <v>21</v>
      </c>
    </row>
    <row r="17">
      <c r="A17" s="4"/>
      <c r="B17" s="3"/>
    </row>
    <row r="18" ht="18.0" customHeight="1">
      <c r="A18" s="5" t="s">
        <v>22</v>
      </c>
      <c r="B18" s="6"/>
    </row>
    <row r="19">
      <c r="A19" s="2" t="s">
        <v>23</v>
      </c>
      <c r="B19" s="3" t="s">
        <v>24</v>
      </c>
    </row>
    <row r="20">
      <c r="A20" s="2" t="s">
        <v>25</v>
      </c>
      <c r="B20" s="3" t="s">
        <v>26</v>
      </c>
    </row>
    <row r="21" ht="15.75" customHeight="1">
      <c r="A21" s="2" t="s">
        <v>27</v>
      </c>
      <c r="B21" s="3" t="s">
        <v>28</v>
      </c>
    </row>
    <row r="22" ht="15.75" customHeight="1">
      <c r="A22" s="2" t="s">
        <v>29</v>
      </c>
      <c r="B22" s="3" t="s">
        <v>30</v>
      </c>
    </row>
    <row r="23" ht="15.75" customHeight="1">
      <c r="A23" s="2" t="s">
        <v>31</v>
      </c>
      <c r="B23" s="3" t="s">
        <v>32</v>
      </c>
    </row>
    <row r="24" ht="15.75" customHeight="1">
      <c r="A24" s="2" t="s">
        <v>33</v>
      </c>
      <c r="B24" s="3" t="s">
        <v>34</v>
      </c>
    </row>
    <row r="25" ht="15.75" customHeight="1">
      <c r="A25" s="2" t="s">
        <v>35</v>
      </c>
      <c r="B25" s="3" t="s">
        <v>36</v>
      </c>
    </row>
    <row r="26" ht="15.75" customHeight="1">
      <c r="A26" s="2" t="s">
        <v>37</v>
      </c>
      <c r="B26" s="3" t="s">
        <v>38</v>
      </c>
    </row>
    <row r="27" ht="15.75" customHeight="1">
      <c r="A27" s="2" t="s">
        <v>39</v>
      </c>
      <c r="B27" s="3" t="s">
        <v>40</v>
      </c>
    </row>
    <row r="28" ht="15.75" customHeight="1">
      <c r="A28" s="4"/>
      <c r="B28" s="3"/>
    </row>
    <row r="29" ht="18.0" customHeight="1">
      <c r="A29" s="5" t="s">
        <v>41</v>
      </c>
      <c r="B29" s="6"/>
    </row>
    <row r="30" ht="15.75" customHeight="1">
      <c r="A30" s="2" t="s">
        <v>42</v>
      </c>
      <c r="B30" s="3" t="s">
        <v>43</v>
      </c>
    </row>
    <row r="31" ht="15.75" customHeight="1">
      <c r="A31" s="2" t="s">
        <v>44</v>
      </c>
      <c r="B31" s="3" t="s">
        <v>45</v>
      </c>
    </row>
    <row r="32" ht="15.75" customHeight="1">
      <c r="A32" s="2" t="s">
        <v>46</v>
      </c>
      <c r="B32" s="3" t="s">
        <v>47</v>
      </c>
    </row>
    <row r="33" ht="15.75" customHeight="1">
      <c r="A33" s="2" t="s">
        <v>48</v>
      </c>
      <c r="B33" s="3" t="s">
        <v>49</v>
      </c>
    </row>
    <row r="34" ht="15.75" customHeight="1">
      <c r="A34" s="2" t="s">
        <v>50</v>
      </c>
      <c r="B34" s="3" t="s">
        <v>51</v>
      </c>
    </row>
    <row r="35" ht="15.75" customHeight="1">
      <c r="A35" s="2" t="s">
        <v>52</v>
      </c>
      <c r="B35" s="3" t="s">
        <v>53</v>
      </c>
    </row>
    <row r="36" ht="15.75" customHeight="1">
      <c r="A36" s="4"/>
      <c r="B36" s="3"/>
    </row>
    <row r="37" ht="18.0" customHeight="1">
      <c r="A37" s="5" t="s">
        <v>54</v>
      </c>
      <c r="B37" s="6"/>
    </row>
    <row r="38" ht="15.75" customHeight="1">
      <c r="A38" s="2" t="s">
        <v>55</v>
      </c>
      <c r="B38" s="3" t="s">
        <v>56</v>
      </c>
    </row>
    <row r="39" ht="15.75" customHeight="1">
      <c r="A39" s="2" t="s">
        <v>57</v>
      </c>
      <c r="B39" s="3" t="s">
        <v>58</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14"/>
    <col customWidth="1" min="2" max="2" width="17.43"/>
    <col customWidth="1" min="3" max="3" width="18.14"/>
    <col customWidth="1" min="4" max="7" width="16.0"/>
    <col customWidth="1" min="8" max="8" width="24.0"/>
    <col customWidth="1" min="9" max="26" width="8.71"/>
  </cols>
  <sheetData>
    <row r="1" ht="21.75" customHeight="1">
      <c r="A1" s="1" t="s">
        <v>59</v>
      </c>
    </row>
    <row r="3" ht="18.0" customHeight="1">
      <c r="A3" s="5" t="s">
        <v>60</v>
      </c>
      <c r="B3" s="6"/>
      <c r="C3" s="6"/>
      <c r="D3" s="6"/>
      <c r="E3" s="6"/>
      <c r="F3" s="6"/>
      <c r="G3" s="6"/>
      <c r="H3" s="6"/>
    </row>
    <row r="4">
      <c r="A4" s="7" t="s">
        <v>61</v>
      </c>
      <c r="B4" s="7" t="s">
        <v>62</v>
      </c>
      <c r="C4" s="7"/>
      <c r="D4" s="7"/>
      <c r="E4" s="7"/>
      <c r="F4" s="7"/>
      <c r="G4" s="7"/>
      <c r="H4" s="7" t="s">
        <v>63</v>
      </c>
    </row>
    <row r="5">
      <c r="A5" s="8" t="s">
        <v>64</v>
      </c>
      <c r="B5" s="9">
        <v>0.02</v>
      </c>
      <c r="H5" s="10" t="s">
        <v>65</v>
      </c>
    </row>
    <row r="6">
      <c r="A6" s="8" t="s">
        <v>66</v>
      </c>
      <c r="B6" s="11">
        <v>30.0</v>
      </c>
      <c r="H6" s="10" t="s">
        <v>67</v>
      </c>
    </row>
    <row r="7">
      <c r="A7" s="8" t="s">
        <v>68</v>
      </c>
      <c r="B7" s="9">
        <v>0.15</v>
      </c>
      <c r="H7" s="10" t="s">
        <v>69</v>
      </c>
    </row>
    <row r="8">
      <c r="A8" s="8" t="s">
        <v>70</v>
      </c>
      <c r="B8" s="12">
        <v>0.05</v>
      </c>
      <c r="H8" s="10"/>
    </row>
    <row r="9">
      <c r="A9" s="8" t="s">
        <v>71</v>
      </c>
      <c r="B9" s="13">
        <v>0.02</v>
      </c>
      <c r="H9" s="10" t="s">
        <v>72</v>
      </c>
    </row>
    <row r="10">
      <c r="A10" s="8" t="s">
        <v>73</v>
      </c>
      <c r="B10" s="13">
        <v>0.08</v>
      </c>
      <c r="H10" s="10" t="s">
        <v>72</v>
      </c>
    </row>
    <row r="11">
      <c r="A11" s="8" t="s">
        <v>74</v>
      </c>
      <c r="B11" s="9">
        <v>0.005</v>
      </c>
      <c r="H11" s="10"/>
    </row>
    <row r="12">
      <c r="A12" s="8" t="s">
        <v>75</v>
      </c>
      <c r="B12" s="9">
        <v>0.002</v>
      </c>
      <c r="H12" s="10"/>
    </row>
    <row r="13">
      <c r="A13" s="8" t="s">
        <v>76</v>
      </c>
      <c r="B13" s="14">
        <v>3.0</v>
      </c>
      <c r="H13" s="10" t="s">
        <v>77</v>
      </c>
    </row>
    <row r="14">
      <c r="A14" s="8" t="s">
        <v>78</v>
      </c>
      <c r="B14" s="13">
        <v>0.1</v>
      </c>
      <c r="H14" s="10" t="s">
        <v>79</v>
      </c>
    </row>
    <row r="16" ht="18.0" customHeight="1">
      <c r="A16" s="5" t="s">
        <v>80</v>
      </c>
      <c r="B16" s="6"/>
      <c r="C16" s="6"/>
      <c r="D16" s="6"/>
      <c r="E16" s="6"/>
      <c r="F16" s="6"/>
      <c r="G16" s="6"/>
      <c r="H16" s="6"/>
    </row>
    <row r="17">
      <c r="A17" s="7" t="s">
        <v>81</v>
      </c>
      <c r="B17" s="7" t="s">
        <v>82</v>
      </c>
      <c r="C17" s="7" t="s">
        <v>83</v>
      </c>
      <c r="D17" s="7" t="s">
        <v>84</v>
      </c>
      <c r="E17" s="7" t="s">
        <v>85</v>
      </c>
      <c r="F17" s="7"/>
      <c r="G17" s="7"/>
      <c r="H17" s="7" t="s">
        <v>63</v>
      </c>
    </row>
    <row r="18">
      <c r="A18" s="8" t="s">
        <v>86</v>
      </c>
      <c r="B18" s="14">
        <v>2.0</v>
      </c>
      <c r="C18" s="12">
        <v>22.0</v>
      </c>
      <c r="D18" s="14">
        <v>8.0</v>
      </c>
      <c r="E18" s="15" t="s">
        <v>87</v>
      </c>
    </row>
    <row r="19">
      <c r="A19" s="8" t="s">
        <v>88</v>
      </c>
      <c r="B19" s="14">
        <v>1.0</v>
      </c>
      <c r="C19" s="12">
        <v>28.0</v>
      </c>
      <c r="D19" s="14">
        <v>4.0</v>
      </c>
      <c r="E19" s="15" t="s">
        <v>87</v>
      </c>
    </row>
    <row r="20">
      <c r="A20" s="8" t="s">
        <v>89</v>
      </c>
      <c r="B20" s="14">
        <v>1.0</v>
      </c>
      <c r="C20" s="12">
        <v>18.0</v>
      </c>
      <c r="D20" s="14">
        <v>6.0</v>
      </c>
      <c r="E20" s="15" t="s">
        <v>87</v>
      </c>
    </row>
    <row r="21" ht="15.75" customHeight="1">
      <c r="A21" s="8" t="s">
        <v>90</v>
      </c>
      <c r="B21" s="14">
        <v>1.0</v>
      </c>
      <c r="C21" s="12">
        <v>45.0</v>
      </c>
      <c r="D21" s="14">
        <v>8.0</v>
      </c>
      <c r="E21" s="15" t="s">
        <v>91</v>
      </c>
    </row>
    <row r="22" ht="15.75" customHeight="1">
      <c r="A22" s="16" t="s">
        <v>92</v>
      </c>
      <c r="B22" s="17">
        <f>SUMPRODUCT(B18:B21,C18:C21,D18:D21)</f>
        <v>932</v>
      </c>
      <c r="H22" s="10" t="s">
        <v>93</v>
      </c>
    </row>
    <row r="23" ht="15.75" customHeight="1"/>
    <row r="24" ht="15.75" customHeight="1">
      <c r="A24" s="8" t="s">
        <v>94</v>
      </c>
      <c r="B24" s="12">
        <v>0.3</v>
      </c>
      <c r="H24" s="10" t="s">
        <v>95</v>
      </c>
    </row>
    <row r="25" ht="15.75" customHeight="1">
      <c r="A25" s="8" t="s">
        <v>96</v>
      </c>
      <c r="B25" s="18">
        <v>5000.0</v>
      </c>
      <c r="H25" s="10"/>
    </row>
    <row r="26" ht="15.75" customHeight="1">
      <c r="A26" s="8" t="s">
        <v>97</v>
      </c>
      <c r="B26" s="18">
        <v>2000.0</v>
      </c>
      <c r="H26" s="10"/>
    </row>
    <row r="27" ht="15.75" customHeight="1">
      <c r="A27" s="8" t="s">
        <v>98</v>
      </c>
      <c r="B27" s="18">
        <v>6000.0</v>
      </c>
      <c r="H27" s="10"/>
    </row>
    <row r="28" ht="15.75" customHeight="1"/>
    <row r="29" ht="18.0" customHeight="1">
      <c r="A29" s="5" t="s">
        <v>99</v>
      </c>
      <c r="B29" s="6"/>
      <c r="C29" s="6"/>
      <c r="D29" s="6"/>
      <c r="E29" s="6"/>
      <c r="F29" s="6"/>
      <c r="G29" s="6"/>
      <c r="H29" s="6"/>
    </row>
    <row r="30" ht="15.75" customHeight="1">
      <c r="A30" s="19" t="s">
        <v>100</v>
      </c>
      <c r="B30" s="20">
        <v>3.5</v>
      </c>
    </row>
    <row r="31" ht="15.75" customHeight="1">
      <c r="A31" s="19" t="s">
        <v>101</v>
      </c>
      <c r="B31" s="20">
        <v>1.75</v>
      </c>
    </row>
    <row r="32" ht="15.75" customHeight="1">
      <c r="A32" s="19" t="s">
        <v>102</v>
      </c>
      <c r="B32" s="20">
        <v>2.25</v>
      </c>
    </row>
    <row r="33" ht="15.75" customHeight="1">
      <c r="A33" s="19" t="s">
        <v>103</v>
      </c>
      <c r="B33" s="20">
        <v>1.13</v>
      </c>
    </row>
    <row r="34" ht="15.75" customHeight="1">
      <c r="A34" s="19" t="s">
        <v>104</v>
      </c>
      <c r="B34" s="20">
        <v>2.5</v>
      </c>
    </row>
    <row r="35" ht="15.75" customHeight="1">
      <c r="A35" s="19" t="s">
        <v>105</v>
      </c>
      <c r="B35" s="20">
        <v>1.0</v>
      </c>
    </row>
    <row r="36" ht="15.75" customHeight="1">
      <c r="A36" s="19" t="s">
        <v>106</v>
      </c>
      <c r="B36" s="21">
        <v>0.1</v>
      </c>
    </row>
    <row r="37" ht="15.75" customHeight="1">
      <c r="A37" s="19" t="s">
        <v>107</v>
      </c>
      <c r="B37" s="22">
        <v>150000.0</v>
      </c>
    </row>
    <row r="38" ht="15.75" customHeight="1"/>
    <row r="39" ht="18.0" customHeight="1">
      <c r="A39" s="5" t="s">
        <v>108</v>
      </c>
      <c r="B39" s="6"/>
      <c r="C39" s="6"/>
      <c r="D39" s="6"/>
      <c r="E39" s="6"/>
      <c r="F39" s="6"/>
      <c r="G39" s="6"/>
      <c r="H39" s="6"/>
    </row>
    <row r="40" ht="15.75" customHeight="1">
      <c r="A40" s="7" t="s">
        <v>109</v>
      </c>
      <c r="B40" s="7" t="s">
        <v>110</v>
      </c>
      <c r="C40" s="7" t="s">
        <v>111</v>
      </c>
      <c r="D40" s="7" t="s">
        <v>112</v>
      </c>
      <c r="E40" s="7" t="s">
        <v>113</v>
      </c>
      <c r="F40" s="7" t="s">
        <v>114</v>
      </c>
      <c r="G40" s="7" t="s">
        <v>115</v>
      </c>
      <c r="H40" s="7" t="s">
        <v>116</v>
      </c>
    </row>
    <row r="41" ht="15.75" customHeight="1">
      <c r="A41" s="8" t="s">
        <v>117</v>
      </c>
      <c r="B41" s="15" t="s">
        <v>87</v>
      </c>
      <c r="C41" s="9">
        <v>0.4</v>
      </c>
      <c r="D41" s="12">
        <v>3.5</v>
      </c>
      <c r="E41" s="12">
        <v>2.25</v>
      </c>
      <c r="F41" s="12">
        <v>0.85</v>
      </c>
      <c r="G41" s="14">
        <v>0.0</v>
      </c>
      <c r="H41" s="14">
        <v>30000.0</v>
      </c>
    </row>
    <row r="42" ht="15.75" customHeight="1">
      <c r="A42" s="8" t="s">
        <v>118</v>
      </c>
      <c r="B42" s="15" t="s">
        <v>87</v>
      </c>
      <c r="C42" s="9">
        <v>0.2</v>
      </c>
      <c r="D42" s="12">
        <v>2.8</v>
      </c>
      <c r="E42" s="12">
        <v>1.8</v>
      </c>
      <c r="F42" s="12">
        <v>0.55</v>
      </c>
      <c r="G42" s="14">
        <v>2.0</v>
      </c>
      <c r="H42" s="14">
        <v>18000.0</v>
      </c>
    </row>
    <row r="43" ht="15.75" customHeight="1">
      <c r="A43" s="8" t="s">
        <v>119</v>
      </c>
      <c r="B43" s="15" t="s">
        <v>91</v>
      </c>
      <c r="C43" s="9">
        <v>0.0</v>
      </c>
      <c r="D43" s="12">
        <v>1.75</v>
      </c>
      <c r="E43" s="12">
        <v>1.13</v>
      </c>
      <c r="F43" s="12">
        <v>0.45</v>
      </c>
      <c r="G43" s="14">
        <v>24.0</v>
      </c>
      <c r="H43" s="14">
        <v>40000.0</v>
      </c>
    </row>
    <row r="44" ht="15.75" customHeight="1">
      <c r="A44" s="8" t="s">
        <v>120</v>
      </c>
      <c r="B44" s="15" t="s">
        <v>87</v>
      </c>
      <c r="C44" s="9">
        <v>0.15</v>
      </c>
      <c r="D44" s="12">
        <v>2.1</v>
      </c>
      <c r="E44" s="12">
        <v>1.35</v>
      </c>
      <c r="F44" s="12">
        <v>0.42</v>
      </c>
      <c r="G44" s="14">
        <v>4.0</v>
      </c>
      <c r="H44" s="14">
        <v>9000.0</v>
      </c>
    </row>
    <row r="45" ht="15.75" customHeight="1">
      <c r="A45" s="8" t="s">
        <v>121</v>
      </c>
      <c r="B45" s="15" t="s">
        <v>87</v>
      </c>
      <c r="C45" s="9">
        <v>0.08</v>
      </c>
      <c r="D45" s="12">
        <v>1.95</v>
      </c>
      <c r="E45" s="12">
        <v>1.25</v>
      </c>
      <c r="F45" s="12">
        <v>0.3</v>
      </c>
      <c r="G45" s="14">
        <v>3.0</v>
      </c>
      <c r="H45" s="14">
        <v>4500.0</v>
      </c>
    </row>
    <row r="46" ht="15.75" customHeight="1">
      <c r="A46" s="8" t="s">
        <v>122</v>
      </c>
      <c r="B46" s="15" t="s">
        <v>87</v>
      </c>
      <c r="C46" s="9">
        <v>0.17</v>
      </c>
      <c r="D46" s="12">
        <v>1.5</v>
      </c>
      <c r="E46" s="12">
        <v>0.95</v>
      </c>
      <c r="F46" s="12">
        <v>0.45</v>
      </c>
      <c r="G46" s="14">
        <v>4.0</v>
      </c>
      <c r="H46" s="14">
        <v>14000.0</v>
      </c>
    </row>
    <row r="47" ht="15.75" customHeight="1">
      <c r="A47" s="16" t="s">
        <v>123</v>
      </c>
      <c r="C47" s="23">
        <f>SUMIF(B41:B46,"Yes",C41:C46)</f>
        <v>1</v>
      </c>
      <c r="H47" s="10" t="s">
        <v>124</v>
      </c>
    </row>
    <row r="48" ht="15.75" customHeight="1"/>
    <row r="49" ht="18.0" customHeight="1">
      <c r="A49" s="5" t="s">
        <v>125</v>
      </c>
      <c r="B49" s="6"/>
      <c r="C49" s="6"/>
      <c r="D49" s="6"/>
      <c r="E49" s="6"/>
      <c r="F49" s="6"/>
      <c r="G49" s="6"/>
      <c r="H49" s="6"/>
    </row>
    <row r="50" ht="15.75" customHeight="1">
      <c r="A50" s="7" t="s">
        <v>126</v>
      </c>
      <c r="B50" s="7" t="s">
        <v>127</v>
      </c>
      <c r="C50" s="7" t="s">
        <v>128</v>
      </c>
      <c r="D50" s="7" t="s">
        <v>129</v>
      </c>
      <c r="E50" s="7" t="s">
        <v>130</v>
      </c>
      <c r="F50" s="7" t="s">
        <v>131</v>
      </c>
      <c r="G50" s="7" t="s">
        <v>132</v>
      </c>
      <c r="H50" s="7"/>
    </row>
    <row r="51" ht="15.75" customHeight="1">
      <c r="A51" s="14">
        <v>1.0</v>
      </c>
      <c r="B51" s="15" t="s">
        <v>133</v>
      </c>
      <c r="C51" s="14">
        <v>0.0</v>
      </c>
      <c r="D51" s="14">
        <v>500.0</v>
      </c>
      <c r="E51" s="12">
        <v>1.35</v>
      </c>
      <c r="F51" s="12">
        <v>0.45</v>
      </c>
      <c r="G51" s="24">
        <v>1.0</v>
      </c>
    </row>
    <row r="52" ht="15.75" customHeight="1">
      <c r="A52" s="14">
        <v>2.0</v>
      </c>
      <c r="B52" s="15" t="s">
        <v>134</v>
      </c>
      <c r="C52" s="14">
        <v>1000.0</v>
      </c>
      <c r="D52" s="14">
        <v>5000.0</v>
      </c>
      <c r="E52" s="12">
        <v>1.2</v>
      </c>
      <c r="F52" s="12">
        <v>0.4</v>
      </c>
      <c r="G52" s="24">
        <v>0.75</v>
      </c>
    </row>
    <row r="53" ht="15.75" customHeight="1">
      <c r="A53" s="14">
        <v>3.0</v>
      </c>
      <c r="B53" s="15" t="s">
        <v>135</v>
      </c>
      <c r="C53" s="14">
        <v>10000.0</v>
      </c>
      <c r="D53" s="14">
        <v>50000.0</v>
      </c>
      <c r="E53" s="12">
        <v>1.1</v>
      </c>
      <c r="F53" s="12">
        <v>0.35</v>
      </c>
      <c r="G53" s="24">
        <v>0.5</v>
      </c>
    </row>
    <row r="54" ht="15.75" customHeight="1">
      <c r="A54" s="14">
        <v>4.0</v>
      </c>
      <c r="B54" s="15" t="s">
        <v>136</v>
      </c>
      <c r="C54" s="14">
        <v>100000.0</v>
      </c>
      <c r="D54" s="14">
        <v>250000.0</v>
      </c>
      <c r="E54" s="12">
        <v>1.0</v>
      </c>
      <c r="F54" s="12">
        <v>0.3</v>
      </c>
      <c r="G54" s="24">
        <v>0.35</v>
      </c>
    </row>
    <row r="55" ht="15.75" customHeight="1">
      <c r="A55" s="14">
        <v>5.0</v>
      </c>
      <c r="B55" s="15" t="s">
        <v>137</v>
      </c>
      <c r="C55" s="14">
        <v>500000.0</v>
      </c>
      <c r="D55" s="14">
        <v>750000.0</v>
      </c>
      <c r="E55" s="12">
        <v>0.92</v>
      </c>
      <c r="F55" s="12">
        <v>0.27</v>
      </c>
      <c r="G55" s="24">
        <v>0.25</v>
      </c>
    </row>
    <row r="56" ht="15.75" customHeight="1">
      <c r="A56" s="14">
        <v>6.0</v>
      </c>
      <c r="B56" s="15" t="s">
        <v>138</v>
      </c>
      <c r="C56" s="14">
        <v>1000000.0</v>
      </c>
      <c r="D56" s="14">
        <v>2500000.0</v>
      </c>
      <c r="E56" s="12">
        <v>0.85</v>
      </c>
      <c r="F56" s="12">
        <v>0.25</v>
      </c>
      <c r="G56" s="24">
        <v>0.18</v>
      </c>
    </row>
    <row r="57" ht="15.75" customHeight="1">
      <c r="A57" s="14">
        <v>7.0</v>
      </c>
      <c r="B57" s="15" t="s">
        <v>139</v>
      </c>
      <c r="C57" s="14">
        <v>5000000.0</v>
      </c>
      <c r="D57" s="14">
        <v>7500000.0</v>
      </c>
      <c r="E57" s="12">
        <v>0.8</v>
      </c>
      <c r="F57" s="12">
        <v>0.22</v>
      </c>
      <c r="G57" s="24">
        <v>0.12</v>
      </c>
    </row>
    <row r="58" ht="15.75" customHeight="1"/>
    <row r="59" ht="18.0" customHeight="1">
      <c r="A59" s="5" t="s">
        <v>140</v>
      </c>
      <c r="B59" s="6"/>
      <c r="C59" s="6"/>
      <c r="D59" s="6"/>
      <c r="E59" s="6"/>
      <c r="F59" s="6"/>
      <c r="G59" s="6"/>
      <c r="H59" s="6"/>
    </row>
    <row r="60" ht="15.75" customHeight="1">
      <c r="A60" s="7" t="s">
        <v>141</v>
      </c>
      <c r="B60" s="7" t="s">
        <v>142</v>
      </c>
      <c r="C60" s="7" t="s">
        <v>143</v>
      </c>
      <c r="D60" s="7" t="s">
        <v>144</v>
      </c>
      <c r="E60" s="7" t="s">
        <v>145</v>
      </c>
      <c r="F60" s="7" t="s">
        <v>146</v>
      </c>
      <c r="G60" s="7"/>
      <c r="H60" s="7" t="s">
        <v>63</v>
      </c>
    </row>
    <row r="61" ht="15.75" customHeight="1">
      <c r="A61" s="8" t="s">
        <v>147</v>
      </c>
      <c r="B61" s="9">
        <v>0.0</v>
      </c>
      <c r="C61" s="9">
        <v>1.5</v>
      </c>
      <c r="D61" s="9">
        <v>1.0</v>
      </c>
      <c r="E61" s="9">
        <v>0.67</v>
      </c>
      <c r="F61" s="9">
        <v>0.6</v>
      </c>
      <c r="H61" s="10" t="s">
        <v>148</v>
      </c>
    </row>
    <row r="62" ht="15.75" customHeight="1">
      <c r="A62" s="8" t="s">
        <v>149</v>
      </c>
      <c r="B62" s="18">
        <v>150000.0</v>
      </c>
      <c r="C62" s="18">
        <v>250000.0</v>
      </c>
      <c r="D62" s="18">
        <v>400000.0</v>
      </c>
      <c r="E62" s="18">
        <v>600000.0</v>
      </c>
      <c r="F62" s="18">
        <v>800000.0</v>
      </c>
    </row>
    <row r="63" ht="15.75" customHeight="1">
      <c r="A63" s="8" t="s">
        <v>150</v>
      </c>
      <c r="B63" s="18">
        <v>200000.0</v>
      </c>
      <c r="C63" s="18">
        <v>400000.0</v>
      </c>
      <c r="D63" s="18">
        <v>750000.0</v>
      </c>
      <c r="E63" s="18">
        <v>1250000.0</v>
      </c>
      <c r="F63" s="18">
        <v>1800000.0</v>
      </c>
    </row>
    <row r="64" ht="15.75" customHeight="1">
      <c r="A64" s="8" t="s">
        <v>151</v>
      </c>
      <c r="B64" s="18">
        <v>0.0</v>
      </c>
      <c r="C64" s="18">
        <v>150000.0</v>
      </c>
      <c r="D64" s="18">
        <v>400000.0</v>
      </c>
      <c r="E64" s="18">
        <v>800000.0</v>
      </c>
      <c r="F64" s="18">
        <v>1500000.0</v>
      </c>
    </row>
    <row r="65" ht="15.75" customHeight="1">
      <c r="A65" s="8" t="s">
        <v>152</v>
      </c>
      <c r="B65" s="18">
        <v>100000.0</v>
      </c>
      <c r="C65" s="18">
        <v>200000.0</v>
      </c>
      <c r="D65" s="18">
        <v>100000.0</v>
      </c>
      <c r="E65" s="18">
        <v>50000.0</v>
      </c>
      <c r="F65" s="18">
        <v>50000.0</v>
      </c>
    </row>
    <row r="66" ht="15.75" customHeight="1">
      <c r="A66" s="8" t="s">
        <v>153</v>
      </c>
      <c r="B66" s="24">
        <v>1.0</v>
      </c>
      <c r="C66" s="24">
        <v>1.5</v>
      </c>
      <c r="D66" s="24">
        <v>2.0</v>
      </c>
      <c r="E66" s="24">
        <v>2.5</v>
      </c>
      <c r="F66" s="24">
        <v>3.0</v>
      </c>
    </row>
    <row r="67" ht="15.75" customHeight="1">
      <c r="A67" s="8" t="s">
        <v>154</v>
      </c>
      <c r="B67" s="18">
        <v>0.0</v>
      </c>
      <c r="C67" s="18">
        <v>500000.0</v>
      </c>
      <c r="D67" s="18">
        <v>3000000.0</v>
      </c>
      <c r="E67" s="18">
        <v>8000000.0</v>
      </c>
      <c r="F67" s="18">
        <v>1.8E7</v>
      </c>
    </row>
    <row r="68" ht="15.75" customHeight="1">
      <c r="A68" s="8" t="s">
        <v>155</v>
      </c>
      <c r="B68" s="9">
        <v>0.25</v>
      </c>
      <c r="H68" s="10" t="s">
        <v>156</v>
      </c>
    </row>
    <row r="69" ht="15.75" customHeight="1">
      <c r="A69" s="8" t="s">
        <v>157</v>
      </c>
      <c r="B69" s="18">
        <v>200000.0</v>
      </c>
    </row>
    <row r="70" ht="15.75" customHeight="1">
      <c r="A70" s="8" t="s">
        <v>158</v>
      </c>
      <c r="B70" s="14">
        <v>1.0</v>
      </c>
    </row>
    <row r="71" ht="15.75" customHeight="1"/>
    <row r="72" ht="18.0" customHeight="1">
      <c r="A72" s="5" t="s">
        <v>159</v>
      </c>
      <c r="B72" s="6"/>
      <c r="C72" s="6"/>
      <c r="D72" s="6"/>
      <c r="E72" s="6"/>
      <c r="F72" s="6"/>
      <c r="G72" s="6"/>
      <c r="H72" s="6"/>
    </row>
    <row r="73" ht="15.75" customHeight="1">
      <c r="A73" s="7" t="s">
        <v>160</v>
      </c>
      <c r="B73" s="7" t="s">
        <v>161</v>
      </c>
      <c r="C73" s="7" t="s">
        <v>162</v>
      </c>
      <c r="D73" s="7" t="s">
        <v>163</v>
      </c>
      <c r="E73" s="7" t="s">
        <v>164</v>
      </c>
      <c r="F73" s="7" t="s">
        <v>165</v>
      </c>
      <c r="G73" s="7"/>
      <c r="H73" s="7" t="s">
        <v>63</v>
      </c>
    </row>
    <row r="74" ht="15.75" customHeight="1">
      <c r="A74" s="8" t="s">
        <v>166</v>
      </c>
      <c r="B74" s="25">
        <v>0.01</v>
      </c>
      <c r="C74" s="26">
        <v>4.0</v>
      </c>
      <c r="D74" s="26">
        <v>3.5</v>
      </c>
      <c r="E74" s="26">
        <v>3.0</v>
      </c>
      <c r="F74" s="14">
        <v>25.0</v>
      </c>
    </row>
    <row r="75" ht="15.75" customHeight="1">
      <c r="A75" s="8" t="s">
        <v>167</v>
      </c>
      <c r="B75" s="25">
        <v>0.012</v>
      </c>
      <c r="C75" s="26">
        <v>5.0</v>
      </c>
      <c r="D75" s="26">
        <v>4.33</v>
      </c>
      <c r="E75" s="26">
        <v>3.75</v>
      </c>
      <c r="F75" s="14">
        <v>25.0</v>
      </c>
    </row>
    <row r="76" ht="15.75" customHeight="1">
      <c r="A76" s="8" t="s">
        <v>168</v>
      </c>
      <c r="B76" s="25">
        <v>1.0</v>
      </c>
      <c r="C76" s="26">
        <v>0.08</v>
      </c>
      <c r="D76" s="26">
        <v>0.061</v>
      </c>
      <c r="E76" s="26">
        <v>0.05</v>
      </c>
      <c r="F76" s="14">
        <v>5000.0</v>
      </c>
      <c r="H76" s="10" t="s">
        <v>169</v>
      </c>
    </row>
    <row r="77" ht="15.75" customHeight="1">
      <c r="A77" s="8" t="s">
        <v>170</v>
      </c>
      <c r="B77" s="25">
        <v>0.083</v>
      </c>
      <c r="C77" s="26">
        <v>0.36</v>
      </c>
      <c r="D77" s="26">
        <v>0.3</v>
      </c>
      <c r="E77" s="26">
        <v>0.24</v>
      </c>
      <c r="F77" s="14">
        <v>1000.0</v>
      </c>
      <c r="H77" s="10" t="s">
        <v>169</v>
      </c>
    </row>
    <row r="78" ht="15.75" customHeight="1">
      <c r="A78" s="8" t="s">
        <v>171</v>
      </c>
      <c r="B78" s="25">
        <v>0.044</v>
      </c>
      <c r="C78" s="26">
        <v>10.0</v>
      </c>
      <c r="D78" s="26">
        <v>9.0</v>
      </c>
      <c r="E78" s="26">
        <v>8.0</v>
      </c>
      <c r="F78" s="14">
        <v>200.0</v>
      </c>
    </row>
    <row r="79" ht="15.75" customHeight="1">
      <c r="A79" s="27" t="s">
        <v>172</v>
      </c>
      <c r="B79" s="25">
        <v>0.0</v>
      </c>
      <c r="C79" s="26">
        <v>10.0</v>
      </c>
      <c r="D79" s="26">
        <v>9.0</v>
      </c>
      <c r="E79" s="26">
        <v>8.0</v>
      </c>
      <c r="F79" s="14">
        <v>200.0</v>
      </c>
      <c r="H79" s="10" t="s">
        <v>173</v>
      </c>
    </row>
    <row r="80" ht="15.75" customHeight="1">
      <c r="A80" s="27" t="s">
        <v>174</v>
      </c>
      <c r="B80" s="25">
        <v>0.0</v>
      </c>
      <c r="C80" s="26">
        <v>0.0</v>
      </c>
      <c r="D80" s="26">
        <v>0.0</v>
      </c>
      <c r="E80" s="26">
        <v>0.0</v>
      </c>
      <c r="F80" s="14">
        <v>0.0</v>
      </c>
      <c r="H80" s="10" t="s">
        <v>173</v>
      </c>
    </row>
    <row r="81" ht="15.75" customHeight="1">
      <c r="A81" s="27" t="s">
        <v>175</v>
      </c>
      <c r="B81" s="25">
        <v>0.0</v>
      </c>
      <c r="C81" s="26">
        <v>0.0</v>
      </c>
      <c r="D81" s="26">
        <v>0.0</v>
      </c>
      <c r="E81" s="26">
        <v>0.0</v>
      </c>
      <c r="F81" s="14">
        <v>0.0</v>
      </c>
      <c r="H81" s="10" t="s">
        <v>173</v>
      </c>
    </row>
    <row r="82" ht="15.75" customHeight="1">
      <c r="A82" s="27" t="s">
        <v>176</v>
      </c>
      <c r="B82" s="25">
        <v>0.0</v>
      </c>
      <c r="C82" s="26">
        <v>0.0</v>
      </c>
      <c r="D82" s="26">
        <v>0.0</v>
      </c>
      <c r="E82" s="26">
        <v>0.0</v>
      </c>
      <c r="F82" s="14">
        <v>0.0</v>
      </c>
      <c r="H82" s="10" t="s">
        <v>173</v>
      </c>
    </row>
    <row r="83" ht="15.75" customHeight="1">
      <c r="A83" s="27" t="s">
        <v>177</v>
      </c>
      <c r="B83" s="25">
        <v>0.0</v>
      </c>
      <c r="C83" s="26">
        <v>0.0</v>
      </c>
      <c r="D83" s="26">
        <v>0.0</v>
      </c>
      <c r="E83" s="26">
        <v>0.0</v>
      </c>
      <c r="F83" s="14">
        <v>0.0</v>
      </c>
      <c r="H83" s="10" t="s">
        <v>173</v>
      </c>
    </row>
    <row r="84" ht="15.75" customHeight="1">
      <c r="A84" s="27" t="s">
        <v>178</v>
      </c>
      <c r="B84" s="25">
        <v>0.0</v>
      </c>
      <c r="C84" s="26">
        <v>0.0</v>
      </c>
      <c r="D84" s="26">
        <v>0.0</v>
      </c>
      <c r="E84" s="26">
        <v>0.0</v>
      </c>
      <c r="F84" s="14">
        <v>0.0</v>
      </c>
      <c r="H84" s="10" t="s">
        <v>173</v>
      </c>
    </row>
    <row r="85" ht="15.75" customHeight="1">
      <c r="A85" s="8" t="s">
        <v>179</v>
      </c>
      <c r="B85" s="25">
        <v>0.025</v>
      </c>
      <c r="C85" s="26">
        <v>2.4</v>
      </c>
      <c r="D85" s="26">
        <v>2.0</v>
      </c>
      <c r="E85" s="26">
        <v>1.6</v>
      </c>
      <c r="F85" s="14">
        <v>100.0</v>
      </c>
    </row>
    <row r="86" ht="15.75" customHeight="1">
      <c r="A86" s="27" t="s">
        <v>180</v>
      </c>
      <c r="B86" s="25">
        <v>0.0</v>
      </c>
      <c r="C86" s="26">
        <v>0.0</v>
      </c>
      <c r="D86" s="26">
        <v>0.0</v>
      </c>
      <c r="E86" s="26">
        <v>0.0</v>
      </c>
      <c r="F86" s="14">
        <v>0.0</v>
      </c>
      <c r="H86" s="10" t="s">
        <v>173</v>
      </c>
    </row>
    <row r="87" ht="15.75" customHeight="1">
      <c r="A87" s="27" t="s">
        <v>181</v>
      </c>
      <c r="B87" s="25">
        <v>0.0</v>
      </c>
      <c r="C87" s="26">
        <v>0.0</v>
      </c>
      <c r="D87" s="26">
        <v>0.0</v>
      </c>
      <c r="E87" s="26">
        <v>0.0</v>
      </c>
      <c r="F87" s="14">
        <v>0.0</v>
      </c>
      <c r="H87" s="10" t="s">
        <v>173</v>
      </c>
    </row>
    <row r="88" ht="15.75" customHeight="1"/>
    <row r="89" ht="18.0" customHeight="1">
      <c r="A89" s="5" t="s">
        <v>182</v>
      </c>
      <c r="B89" s="6"/>
      <c r="C89" s="6"/>
      <c r="D89" s="6"/>
      <c r="E89" s="6"/>
      <c r="F89" s="6"/>
      <c r="G89" s="6"/>
      <c r="H89" s="6"/>
    </row>
    <row r="90" ht="15.75" customHeight="1">
      <c r="A90" s="7" t="s">
        <v>160</v>
      </c>
      <c r="B90" s="7" t="s">
        <v>161</v>
      </c>
      <c r="C90" s="7" t="s">
        <v>162</v>
      </c>
      <c r="D90" s="7" t="s">
        <v>163</v>
      </c>
      <c r="E90" s="7" t="s">
        <v>164</v>
      </c>
      <c r="F90" s="7" t="s">
        <v>165</v>
      </c>
      <c r="G90" s="7"/>
      <c r="H90" s="7" t="s">
        <v>63</v>
      </c>
    </row>
    <row r="91" ht="15.75" customHeight="1">
      <c r="A91" s="8" t="s">
        <v>183</v>
      </c>
      <c r="B91" s="25">
        <v>0.015</v>
      </c>
      <c r="C91" s="26">
        <v>6.67</v>
      </c>
      <c r="D91" s="26">
        <v>5.5</v>
      </c>
      <c r="E91" s="26">
        <v>4.5</v>
      </c>
      <c r="F91" s="14">
        <v>50.0</v>
      </c>
    </row>
    <row r="92" ht="15.75" customHeight="1">
      <c r="A92" s="8" t="s">
        <v>184</v>
      </c>
      <c r="B92" s="25">
        <v>0.008</v>
      </c>
      <c r="C92" s="26">
        <v>5.0</v>
      </c>
      <c r="D92" s="26">
        <v>4.0</v>
      </c>
      <c r="E92" s="26">
        <v>3.25</v>
      </c>
      <c r="F92" s="14">
        <v>100.0</v>
      </c>
      <c r="H92" s="10" t="s">
        <v>185</v>
      </c>
    </row>
    <row r="93" ht="15.75" customHeight="1">
      <c r="A93" s="8" t="s">
        <v>186</v>
      </c>
      <c r="B93" s="25">
        <v>0.005</v>
      </c>
      <c r="C93" s="26">
        <v>6.0</v>
      </c>
      <c r="D93" s="26">
        <v>5.0</v>
      </c>
      <c r="E93" s="26">
        <v>4.0</v>
      </c>
      <c r="F93" s="14">
        <v>50.0</v>
      </c>
    </row>
    <row r="94" ht="15.75" customHeight="1">
      <c r="A94" s="8" t="s">
        <v>180</v>
      </c>
      <c r="B94" s="25">
        <v>0.003</v>
      </c>
      <c r="C94" s="26">
        <v>0.5</v>
      </c>
      <c r="D94" s="26">
        <v>0.4</v>
      </c>
      <c r="E94" s="26">
        <v>0.33</v>
      </c>
      <c r="F94" s="14">
        <v>50.0</v>
      </c>
    </row>
    <row r="95" ht="15.75" customHeight="1">
      <c r="A95" s="8" t="s">
        <v>187</v>
      </c>
      <c r="B95" s="25">
        <v>0.005</v>
      </c>
      <c r="C95" s="26">
        <v>4.0</v>
      </c>
      <c r="D95" s="26">
        <v>3.5</v>
      </c>
      <c r="E95" s="26">
        <v>3.0</v>
      </c>
      <c r="F95" s="14">
        <v>50.0</v>
      </c>
    </row>
    <row r="96" ht="15.75" customHeight="1">
      <c r="A96" s="8" t="s">
        <v>188</v>
      </c>
      <c r="B96" s="25">
        <v>0.008</v>
      </c>
      <c r="C96" s="26">
        <v>5.0</v>
      </c>
      <c r="D96" s="26">
        <v>4.25</v>
      </c>
      <c r="E96" s="26">
        <v>3.5</v>
      </c>
      <c r="F96" s="14">
        <v>25.0</v>
      </c>
    </row>
    <row r="97" ht="15.75" customHeight="1">
      <c r="A97" s="8" t="s">
        <v>189</v>
      </c>
      <c r="B97" s="25">
        <v>0.003</v>
      </c>
      <c r="C97" s="26">
        <v>1.33</v>
      </c>
      <c r="D97" s="26">
        <v>1.0</v>
      </c>
      <c r="E97" s="26">
        <v>0.83</v>
      </c>
      <c r="F97" s="14">
        <v>50.0</v>
      </c>
    </row>
    <row r="98" ht="15.75" customHeight="1">
      <c r="A98" s="8" t="s">
        <v>190</v>
      </c>
      <c r="B98" s="25">
        <v>0.01</v>
      </c>
      <c r="C98" s="26">
        <v>4.0</v>
      </c>
      <c r="D98" s="26">
        <v>3.5</v>
      </c>
      <c r="E98" s="26">
        <v>3.0</v>
      </c>
      <c r="F98" s="14">
        <v>25.0</v>
      </c>
    </row>
    <row r="99" ht="15.75" customHeight="1">
      <c r="A99" s="8" t="s">
        <v>191</v>
      </c>
      <c r="B99" s="25">
        <v>1.0</v>
      </c>
      <c r="C99" s="26">
        <v>0.05</v>
      </c>
      <c r="D99" s="26">
        <v>0.04</v>
      </c>
      <c r="E99" s="26">
        <v>0.03</v>
      </c>
      <c r="F99" s="14">
        <v>10000.0</v>
      </c>
      <c r="H99" s="10" t="s">
        <v>169</v>
      </c>
    </row>
    <row r="100" ht="15.75" customHeight="1"/>
    <row r="101" ht="18.0" customHeight="1">
      <c r="A101" s="5" t="s">
        <v>192</v>
      </c>
      <c r="B101" s="6"/>
      <c r="C101" s="6"/>
      <c r="D101" s="6"/>
      <c r="E101" s="6"/>
      <c r="F101" s="6"/>
      <c r="G101" s="6"/>
      <c r="H101" s="6"/>
    </row>
    <row r="102" ht="15.75" customHeight="1">
      <c r="A102" s="7" t="s">
        <v>193</v>
      </c>
      <c r="B102" s="7" t="s">
        <v>194</v>
      </c>
      <c r="C102" s="7" t="s">
        <v>195</v>
      </c>
      <c r="D102" s="7" t="s">
        <v>196</v>
      </c>
      <c r="E102" s="7" t="s">
        <v>197</v>
      </c>
      <c r="F102" s="7"/>
      <c r="G102" s="7"/>
      <c r="H102" s="7"/>
    </row>
    <row r="103" ht="15.75" customHeight="1">
      <c r="A103" s="8" t="s">
        <v>198</v>
      </c>
      <c r="B103" s="14">
        <v>2000.0</v>
      </c>
      <c r="C103" s="14">
        <v>1500.0</v>
      </c>
      <c r="D103" s="24">
        <v>1.15</v>
      </c>
      <c r="E103" s="24">
        <v>0.85</v>
      </c>
    </row>
    <row r="104" ht="15.75" customHeight="1">
      <c r="A104" s="8" t="s">
        <v>199</v>
      </c>
      <c r="B104" s="14">
        <v>3000.0</v>
      </c>
      <c r="C104" s="14">
        <v>2500.0</v>
      </c>
      <c r="D104" s="24">
        <v>1.1</v>
      </c>
      <c r="E104" s="24">
        <v>0.85</v>
      </c>
    </row>
    <row r="105" ht="15.75" customHeight="1">
      <c r="A105" s="8" t="s">
        <v>200</v>
      </c>
      <c r="B105" s="14">
        <v>4000.0</v>
      </c>
      <c r="C105" s="14">
        <v>3500.0</v>
      </c>
      <c r="D105" s="24">
        <v>1.05</v>
      </c>
      <c r="E105" s="24">
        <v>0.9</v>
      </c>
    </row>
    <row r="106" ht="15.75" customHeight="1">
      <c r="A106" s="8" t="s">
        <v>201</v>
      </c>
      <c r="B106" s="14">
        <v>5000.0</v>
      </c>
      <c r="C106" s="14">
        <v>4500.0</v>
      </c>
      <c r="D106" s="24">
        <v>0.95</v>
      </c>
      <c r="E106" s="24">
        <v>1.0</v>
      </c>
    </row>
    <row r="107" ht="15.75" customHeight="1">
      <c r="A107" s="8" t="s">
        <v>202</v>
      </c>
      <c r="B107" s="14">
        <v>5500.0</v>
      </c>
      <c r="C107" s="14">
        <v>5000.0</v>
      </c>
      <c r="D107" s="24">
        <v>0.9</v>
      </c>
      <c r="E107" s="24">
        <v>1.1</v>
      </c>
    </row>
    <row r="108" ht="15.75" customHeight="1">
      <c r="A108" s="8" t="s">
        <v>203</v>
      </c>
      <c r="B108" s="14">
        <v>6000.0</v>
      </c>
      <c r="C108" s="14">
        <v>5500.0</v>
      </c>
      <c r="D108" s="24">
        <v>0.95</v>
      </c>
      <c r="E108" s="24">
        <v>1.2</v>
      </c>
    </row>
    <row r="109" ht="15.75" customHeight="1">
      <c r="A109" s="8" t="s">
        <v>204</v>
      </c>
      <c r="B109" s="14">
        <v>6500.0</v>
      </c>
      <c r="C109" s="14">
        <v>6000.0</v>
      </c>
      <c r="D109" s="24">
        <v>1.0</v>
      </c>
      <c r="E109" s="24">
        <v>1.25</v>
      </c>
    </row>
    <row r="110" ht="15.75" customHeight="1">
      <c r="A110" s="8" t="s">
        <v>205</v>
      </c>
      <c r="B110" s="14">
        <v>7000.0</v>
      </c>
      <c r="C110" s="14">
        <v>6500.0</v>
      </c>
      <c r="D110" s="24">
        <v>1.0</v>
      </c>
      <c r="E110" s="24">
        <v>1.2</v>
      </c>
    </row>
    <row r="111" ht="15.75" customHeight="1">
      <c r="A111" s="8" t="s">
        <v>206</v>
      </c>
      <c r="B111" s="14">
        <v>7500.0</v>
      </c>
      <c r="C111" s="14">
        <v>7000.0</v>
      </c>
      <c r="D111" s="24">
        <v>0.95</v>
      </c>
      <c r="E111" s="24">
        <v>1.05</v>
      </c>
    </row>
    <row r="112" ht="15.75" customHeight="1">
      <c r="A112" s="8" t="s">
        <v>207</v>
      </c>
      <c r="B112" s="14">
        <v>8000.0</v>
      </c>
      <c r="C112" s="14">
        <v>7500.0</v>
      </c>
      <c r="D112" s="24">
        <v>0.95</v>
      </c>
      <c r="E112" s="24">
        <v>0.9</v>
      </c>
    </row>
    <row r="113" ht="15.75" customHeight="1">
      <c r="A113" s="8" t="s">
        <v>208</v>
      </c>
      <c r="B113" s="14">
        <v>8500.0</v>
      </c>
      <c r="C113" s="14">
        <v>8000.0</v>
      </c>
      <c r="D113" s="24">
        <v>1.0</v>
      </c>
      <c r="E113" s="24">
        <v>0.85</v>
      </c>
    </row>
    <row r="114" ht="15.75" customHeight="1">
      <c r="A114" s="8" t="s">
        <v>209</v>
      </c>
      <c r="B114" s="14">
        <v>9000.0</v>
      </c>
      <c r="C114" s="14">
        <v>8500.0</v>
      </c>
      <c r="D114" s="24">
        <v>1.0</v>
      </c>
      <c r="E114" s="24">
        <v>0.85</v>
      </c>
    </row>
    <row r="115" ht="15.75" customHeight="1">
      <c r="A115" s="16" t="s">
        <v>210</v>
      </c>
      <c r="B115" s="28">
        <f t="shared" ref="B115:C115" si="1">SUM(B103:B114)</f>
        <v>72000</v>
      </c>
      <c r="C115" s="28">
        <f t="shared" si="1"/>
        <v>66000</v>
      </c>
      <c r="D115" s="16" t="s">
        <v>211</v>
      </c>
      <c r="E115" s="29">
        <f>AVERAGE(E103:E114)</f>
        <v>1</v>
      </c>
    </row>
    <row r="116" ht="15.75" customHeight="1"/>
    <row r="117" ht="18.0" customHeight="1">
      <c r="A117" s="5" t="s">
        <v>212</v>
      </c>
      <c r="B117" s="6"/>
      <c r="C117" s="6"/>
      <c r="D117" s="6"/>
      <c r="E117" s="6"/>
      <c r="F117" s="6"/>
      <c r="G117" s="6"/>
      <c r="H117" s="6"/>
    </row>
    <row r="118" ht="15.75" customHeight="1">
      <c r="A118" s="7" t="s">
        <v>213</v>
      </c>
      <c r="B118" s="7" t="s">
        <v>214</v>
      </c>
      <c r="C118" s="7" t="s">
        <v>215</v>
      </c>
      <c r="D118" s="7" t="s">
        <v>63</v>
      </c>
      <c r="E118" s="7"/>
      <c r="F118" s="7"/>
      <c r="G118" s="7"/>
      <c r="H118" s="7"/>
    </row>
    <row r="119" ht="15.75" customHeight="1">
      <c r="A119" s="8" t="s">
        <v>216</v>
      </c>
      <c r="B119" s="18">
        <v>10000.0</v>
      </c>
      <c r="C119" s="14">
        <v>-3.0</v>
      </c>
      <c r="D119" s="10" t="s">
        <v>217</v>
      </c>
    </row>
    <row r="120" ht="15.75" customHeight="1">
      <c r="A120" s="8" t="s">
        <v>218</v>
      </c>
      <c r="B120" s="18">
        <v>150000.0</v>
      </c>
      <c r="C120" s="14">
        <v>-6.0</v>
      </c>
      <c r="D120" s="10" t="s">
        <v>219</v>
      </c>
    </row>
    <row r="121" ht="15.75" customHeight="1">
      <c r="A121" s="8" t="s">
        <v>220</v>
      </c>
      <c r="B121" s="18">
        <v>15000.0</v>
      </c>
      <c r="C121" s="14">
        <v>-1.0</v>
      </c>
      <c r="D121" s="10" t="s">
        <v>221</v>
      </c>
    </row>
    <row r="122" ht="15.75" customHeight="1">
      <c r="A122" s="8" t="s">
        <v>222</v>
      </c>
      <c r="B122" s="18">
        <v>17500.0</v>
      </c>
      <c r="C122" s="14">
        <v>-4.0</v>
      </c>
      <c r="D122" s="10" t="s">
        <v>223</v>
      </c>
    </row>
    <row r="123" ht="15.75" customHeight="1">
      <c r="A123" s="8" t="s">
        <v>224</v>
      </c>
      <c r="B123" s="18">
        <v>25000.0</v>
      </c>
      <c r="C123" s="14">
        <v>-4.0</v>
      </c>
      <c r="D123" s="10" t="s">
        <v>225</v>
      </c>
    </row>
    <row r="124" ht="15.75" customHeight="1">
      <c r="A124" s="8" t="s">
        <v>226</v>
      </c>
      <c r="B124" s="18">
        <v>15000.0</v>
      </c>
      <c r="C124" s="14">
        <v>-5.0</v>
      </c>
      <c r="D124" s="10" t="s">
        <v>227</v>
      </c>
    </row>
    <row r="125" ht="15.75" customHeight="1">
      <c r="A125" s="16" t="s">
        <v>228</v>
      </c>
      <c r="B125" s="30">
        <f>SUM(B119:B124)</f>
        <v>232500</v>
      </c>
    </row>
    <row r="126" ht="15.75" customHeight="1"/>
    <row r="127" ht="18.0" customHeight="1">
      <c r="A127" s="5" t="s">
        <v>229</v>
      </c>
      <c r="B127" s="6"/>
      <c r="C127" s="6"/>
      <c r="D127" s="6"/>
      <c r="E127" s="6"/>
      <c r="F127" s="6"/>
      <c r="G127" s="6"/>
      <c r="H127" s="6"/>
    </row>
    <row r="128" ht="15.75" customHeight="1">
      <c r="A128" s="8" t="s">
        <v>230</v>
      </c>
      <c r="B128" s="18">
        <v>100000.0</v>
      </c>
    </row>
    <row r="129" ht="15.75" customHeight="1">
      <c r="A129" s="8" t="s">
        <v>231</v>
      </c>
      <c r="B129" s="18">
        <v>2500000.0</v>
      </c>
    </row>
    <row r="130" ht="15.75" customHeight="1">
      <c r="A130" s="8" t="s">
        <v>232</v>
      </c>
      <c r="B130" s="18">
        <v>0.0</v>
      </c>
    </row>
    <row r="131" ht="15.75" customHeight="1">
      <c r="A131" s="8" t="s">
        <v>233</v>
      </c>
      <c r="B131" s="9">
        <v>0.08</v>
      </c>
    </row>
    <row r="132" ht="15.75" customHeight="1">
      <c r="A132" s="8" t="s">
        <v>234</v>
      </c>
      <c r="B132" s="14">
        <v>36.0</v>
      </c>
    </row>
    <row r="133" ht="15.75" customHeight="1"/>
    <row r="134" ht="18.0" customHeight="1">
      <c r="A134" s="5" t="s">
        <v>235</v>
      </c>
      <c r="B134" s="6"/>
      <c r="C134" s="6"/>
      <c r="D134" s="6"/>
      <c r="E134" s="6"/>
      <c r="F134" s="6"/>
      <c r="G134" s="6"/>
      <c r="H134" s="6"/>
    </row>
    <row r="135" ht="15.75" customHeight="1">
      <c r="A135" s="7" t="s">
        <v>236</v>
      </c>
      <c r="B135" s="7" t="s">
        <v>237</v>
      </c>
      <c r="C135" s="7" t="s">
        <v>238</v>
      </c>
      <c r="D135" s="7" t="s">
        <v>239</v>
      </c>
      <c r="E135" s="7" t="s">
        <v>63</v>
      </c>
      <c r="F135" s="7"/>
      <c r="G135" s="7"/>
      <c r="H135" s="7"/>
    </row>
    <row r="136" ht="15.75" customHeight="1">
      <c r="A136" s="8" t="s">
        <v>240</v>
      </c>
      <c r="B136" s="15" t="s">
        <v>241</v>
      </c>
      <c r="C136" s="18">
        <v>0.0</v>
      </c>
      <c r="D136" s="14">
        <v>24.0</v>
      </c>
      <c r="E136" s="10" t="s">
        <v>242</v>
      </c>
    </row>
    <row r="137" ht="15.75" customHeight="1">
      <c r="A137" s="8" t="s">
        <v>243</v>
      </c>
      <c r="B137" s="15" t="s">
        <v>244</v>
      </c>
      <c r="C137" s="18">
        <v>3500.0</v>
      </c>
      <c r="D137" s="14">
        <v>12.0</v>
      </c>
      <c r="E137" s="10" t="s">
        <v>245</v>
      </c>
    </row>
    <row r="138" ht="15.75" customHeight="1">
      <c r="A138" s="8" t="s">
        <v>246</v>
      </c>
      <c r="B138" s="15" t="s">
        <v>247</v>
      </c>
      <c r="C138" s="18">
        <v>2000.0</v>
      </c>
      <c r="D138" s="14">
        <v>36.0</v>
      </c>
      <c r="E138" s="10" t="s">
        <v>248</v>
      </c>
    </row>
    <row r="139" ht="15.75" customHeight="1">
      <c r="A139" s="16" t="s">
        <v>249</v>
      </c>
      <c r="C139" s="30">
        <f>SUM(C136:C138)</f>
        <v>5500</v>
      </c>
    </row>
    <row r="140" ht="15.75" customHeight="1"/>
    <row r="141" ht="18.0" customHeight="1">
      <c r="A141" s="5" t="s">
        <v>250</v>
      </c>
      <c r="B141" s="6"/>
      <c r="C141" s="6"/>
      <c r="D141" s="6"/>
      <c r="E141" s="6"/>
      <c r="F141" s="6"/>
      <c r="G141" s="6"/>
      <c r="H141" s="6"/>
    </row>
    <row r="142" ht="15.75" customHeight="1">
      <c r="A142" s="8" t="s">
        <v>251</v>
      </c>
      <c r="B142" s="14">
        <v>5000.0</v>
      </c>
    </row>
    <row r="143" ht="15.75" customHeight="1">
      <c r="A143" s="8" t="s">
        <v>252</v>
      </c>
      <c r="B143" s="14">
        <v>10000.0</v>
      </c>
    </row>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0.29"/>
    <col customWidth="1" min="2" max="2" width="16.0"/>
    <col customWidth="1" min="3" max="8" width="14.0"/>
    <col customWidth="1" min="9" max="26" width="8.71"/>
  </cols>
  <sheetData>
    <row r="1" ht="21.75" customHeight="1">
      <c r="A1" s="1" t="s">
        <v>253</v>
      </c>
    </row>
    <row r="3">
      <c r="A3" s="31" t="s">
        <v>254</v>
      </c>
    </row>
    <row r="5" ht="18.0" customHeight="1">
      <c r="A5" s="5" t="s">
        <v>255</v>
      </c>
      <c r="B5" s="6"/>
      <c r="C5" s="6"/>
      <c r="D5" s="6"/>
      <c r="E5" s="6"/>
      <c r="F5" s="6"/>
      <c r="G5" s="6"/>
      <c r="H5" s="6"/>
    </row>
    <row r="6">
      <c r="A6" s="7" t="s">
        <v>160</v>
      </c>
      <c r="B6" s="7" t="s">
        <v>256</v>
      </c>
      <c r="C6" s="7" t="s">
        <v>162</v>
      </c>
      <c r="D6" s="7" t="s">
        <v>163</v>
      </c>
      <c r="E6" s="7" t="s">
        <v>164</v>
      </c>
      <c r="F6" s="7" t="s">
        <v>257</v>
      </c>
      <c r="G6" s="7" t="s">
        <v>258</v>
      </c>
      <c r="H6" s="7" t="s">
        <v>259</v>
      </c>
    </row>
    <row r="7">
      <c r="A7" s="32" t="str">
        <f>INPUTS!A74</f>
        <v>Flavoring Orig</v>
      </c>
      <c r="B7" s="33">
        <f>INPUTS!B74</f>
        <v>0.01</v>
      </c>
      <c r="C7" s="34">
        <f>INPUTS!C74</f>
        <v>4</v>
      </c>
      <c r="D7" s="34">
        <f>INPUTS!D74</f>
        <v>3.5</v>
      </c>
      <c r="E7" s="34">
        <f>INPUTS!E74</f>
        <v>3</v>
      </c>
      <c r="F7" s="35">
        <f t="shared" ref="F7:F20" si="1">B7*C7</f>
        <v>0.04</v>
      </c>
      <c r="G7" s="35">
        <f t="shared" ref="G7:G20" si="2">B7*D7</f>
        <v>0.035</v>
      </c>
      <c r="H7" s="35">
        <f t="shared" ref="H7:H20" si="3">B7*E7</f>
        <v>0.03</v>
      </c>
    </row>
    <row r="8">
      <c r="A8" s="32" t="str">
        <f>INPUTS!A75</f>
        <v>Flavoring Berry</v>
      </c>
      <c r="B8" s="33">
        <f>INPUTS!B75</f>
        <v>0.012</v>
      </c>
      <c r="C8" s="34">
        <f>INPUTS!C75</f>
        <v>5</v>
      </c>
      <c r="D8" s="34">
        <f>INPUTS!D75</f>
        <v>4.33</v>
      </c>
      <c r="E8" s="34">
        <f>INPUTS!E75</f>
        <v>3.75</v>
      </c>
      <c r="F8" s="35">
        <f t="shared" si="1"/>
        <v>0.06</v>
      </c>
      <c r="G8" s="35">
        <f t="shared" si="2"/>
        <v>0.05196</v>
      </c>
      <c r="H8" s="35">
        <f t="shared" si="3"/>
        <v>0.045</v>
      </c>
    </row>
    <row r="9">
      <c r="A9" s="32" t="str">
        <f>INPUTS!A76</f>
        <v>Wrapper</v>
      </c>
      <c r="B9" s="33">
        <f>INPUTS!B76</f>
        <v>1</v>
      </c>
      <c r="C9" s="34">
        <f>INPUTS!C76</f>
        <v>0.08</v>
      </c>
      <c r="D9" s="34">
        <f>INPUTS!D76</f>
        <v>0.061</v>
      </c>
      <c r="E9" s="34">
        <f>INPUTS!E76</f>
        <v>0.05</v>
      </c>
      <c r="F9" s="35">
        <f t="shared" si="1"/>
        <v>0.08</v>
      </c>
      <c r="G9" s="35">
        <f t="shared" si="2"/>
        <v>0.061</v>
      </c>
      <c r="H9" s="35">
        <f t="shared" si="3"/>
        <v>0.05</v>
      </c>
    </row>
    <row r="10">
      <c r="A10" s="32" t="str">
        <f>INPUTS!A77</f>
        <v>Outer Box</v>
      </c>
      <c r="B10" s="33">
        <f>INPUTS!B77</f>
        <v>0.083</v>
      </c>
      <c r="C10" s="34">
        <f>INPUTS!C77</f>
        <v>0.36</v>
      </c>
      <c r="D10" s="34">
        <f>INPUTS!D77</f>
        <v>0.3</v>
      </c>
      <c r="E10" s="34">
        <f>INPUTS!E77</f>
        <v>0.24</v>
      </c>
      <c r="F10" s="35">
        <f t="shared" si="1"/>
        <v>0.02988</v>
      </c>
      <c r="G10" s="35">
        <f t="shared" si="2"/>
        <v>0.0249</v>
      </c>
      <c r="H10" s="35">
        <f t="shared" si="3"/>
        <v>0.01992</v>
      </c>
    </row>
    <row r="11">
      <c r="A11" s="32" t="str">
        <f>INPUTS!A78</f>
        <v>Whey Protein</v>
      </c>
      <c r="B11" s="33">
        <f>INPUTS!B78</f>
        <v>0.044</v>
      </c>
      <c r="C11" s="34">
        <f>INPUTS!C78</f>
        <v>10</v>
      </c>
      <c r="D11" s="34">
        <f>INPUTS!D78</f>
        <v>9</v>
      </c>
      <c r="E11" s="34">
        <f>INPUTS!E78</f>
        <v>8</v>
      </c>
      <c r="F11" s="35">
        <f t="shared" si="1"/>
        <v>0.44</v>
      </c>
      <c r="G11" s="35">
        <f t="shared" si="2"/>
        <v>0.396</v>
      </c>
      <c r="H11" s="35">
        <f t="shared" si="3"/>
        <v>0.352</v>
      </c>
    </row>
    <row r="12">
      <c r="A12" s="32" t="str">
        <f>INPUTS!A79</f>
        <v>Milk Protein Isolate</v>
      </c>
      <c r="B12" s="33">
        <f>INPUTS!B79</f>
        <v>0</v>
      </c>
      <c r="C12" s="34">
        <f>INPUTS!C79</f>
        <v>10</v>
      </c>
      <c r="D12" s="34">
        <f>INPUTS!D79</f>
        <v>9</v>
      </c>
      <c r="E12" s="34">
        <f>INPUTS!E79</f>
        <v>8</v>
      </c>
      <c r="F12" s="35">
        <f t="shared" si="1"/>
        <v>0</v>
      </c>
      <c r="G12" s="35">
        <f t="shared" si="2"/>
        <v>0</v>
      </c>
      <c r="H12" s="35">
        <f t="shared" si="3"/>
        <v>0</v>
      </c>
    </row>
    <row r="13">
      <c r="A13" s="32" t="str">
        <f>INPUTS!A80</f>
        <v>Tapioca Fiber</v>
      </c>
      <c r="B13" s="33">
        <f>INPUTS!B80</f>
        <v>0</v>
      </c>
      <c r="C13" s="34">
        <f>INPUTS!C80</f>
        <v>0</v>
      </c>
      <c r="D13" s="34">
        <f>INPUTS!D80</f>
        <v>0</v>
      </c>
      <c r="E13" s="34">
        <f>INPUTS!E80</f>
        <v>0</v>
      </c>
      <c r="F13" s="35">
        <f t="shared" si="1"/>
        <v>0</v>
      </c>
      <c r="G13" s="35">
        <f t="shared" si="2"/>
        <v>0</v>
      </c>
      <c r="H13" s="35">
        <f t="shared" si="3"/>
        <v>0</v>
      </c>
    </row>
    <row r="14">
      <c r="A14" s="32" t="str">
        <f>INPUTS!A81</f>
        <v>IMO</v>
      </c>
      <c r="B14" s="33">
        <f>INPUTS!B81</f>
        <v>0</v>
      </c>
      <c r="C14" s="34">
        <f>INPUTS!C81</f>
        <v>0</v>
      </c>
      <c r="D14" s="34">
        <f>INPUTS!D81</f>
        <v>0</v>
      </c>
      <c r="E14" s="34">
        <f>INPUTS!E81</f>
        <v>0</v>
      </c>
      <c r="F14" s="35">
        <f t="shared" si="1"/>
        <v>0</v>
      </c>
      <c r="G14" s="35">
        <f t="shared" si="2"/>
        <v>0</v>
      </c>
      <c r="H14" s="35">
        <f t="shared" si="3"/>
        <v>0</v>
      </c>
    </row>
    <row r="15">
      <c r="A15" s="32" t="str">
        <f>INPUTS!A82</f>
        <v>Vegetable Glycerin</v>
      </c>
      <c r="B15" s="33">
        <f>INPUTS!B82</f>
        <v>0</v>
      </c>
      <c r="C15" s="34">
        <f>INPUTS!C82</f>
        <v>0</v>
      </c>
      <c r="D15" s="34">
        <f>INPUTS!D82</f>
        <v>0</v>
      </c>
      <c r="E15" s="34">
        <f>INPUTS!E82</f>
        <v>0</v>
      </c>
      <c r="F15" s="35">
        <f t="shared" si="1"/>
        <v>0</v>
      </c>
      <c r="G15" s="35">
        <f t="shared" si="2"/>
        <v>0</v>
      </c>
      <c r="H15" s="35">
        <f t="shared" si="3"/>
        <v>0</v>
      </c>
    </row>
    <row r="16">
      <c r="A16" s="32" t="str">
        <f>INPUTS!A83</f>
        <v>Cocoa Butter</v>
      </c>
      <c r="B16" s="33">
        <f>INPUTS!B83</f>
        <v>0</v>
      </c>
      <c r="C16" s="34">
        <f>INPUTS!C83</f>
        <v>0</v>
      </c>
      <c r="D16" s="34">
        <f>INPUTS!D83</f>
        <v>0</v>
      </c>
      <c r="E16" s="34">
        <f>INPUTS!E83</f>
        <v>0</v>
      </c>
      <c r="F16" s="35">
        <f t="shared" si="1"/>
        <v>0</v>
      </c>
      <c r="G16" s="35">
        <f t="shared" si="2"/>
        <v>0</v>
      </c>
      <c r="H16" s="35">
        <f t="shared" si="3"/>
        <v>0</v>
      </c>
    </row>
    <row r="17">
      <c r="A17" s="32" t="str">
        <f>INPUTS!A84</f>
        <v>Sunflower Lecithin</v>
      </c>
      <c r="B17" s="33">
        <f>INPUTS!B84</f>
        <v>0</v>
      </c>
      <c r="C17" s="34">
        <f>INPUTS!C84</f>
        <v>0</v>
      </c>
      <c r="D17" s="34">
        <f>INPUTS!D84</f>
        <v>0</v>
      </c>
      <c r="E17" s="34">
        <f>INPUTS!E84</f>
        <v>0</v>
      </c>
      <c r="F17" s="35">
        <f t="shared" si="1"/>
        <v>0</v>
      </c>
      <c r="G17" s="35">
        <f t="shared" si="2"/>
        <v>0</v>
      </c>
      <c r="H17" s="35">
        <f t="shared" si="3"/>
        <v>0</v>
      </c>
    </row>
    <row r="18">
      <c r="A18" s="32" t="str">
        <f>INPUTS!A85</f>
        <v>Stevia Reb M</v>
      </c>
      <c r="B18" s="33">
        <f>INPUTS!B85</f>
        <v>0.025</v>
      </c>
      <c r="C18" s="34">
        <f>INPUTS!C85</f>
        <v>2.4</v>
      </c>
      <c r="D18" s="34">
        <f>INPUTS!D85</f>
        <v>2</v>
      </c>
      <c r="E18" s="34">
        <f>INPUTS!E85</f>
        <v>1.6</v>
      </c>
      <c r="F18" s="35">
        <f t="shared" si="1"/>
        <v>0.06</v>
      </c>
      <c r="G18" s="35">
        <f t="shared" si="2"/>
        <v>0.05</v>
      </c>
      <c r="H18" s="35">
        <f t="shared" si="3"/>
        <v>0.04</v>
      </c>
    </row>
    <row r="19">
      <c r="A19" s="32" t="str">
        <f>INPUTS!A86</f>
        <v>Salt</v>
      </c>
      <c r="B19" s="33">
        <f>INPUTS!B86</f>
        <v>0</v>
      </c>
      <c r="C19" s="34">
        <f>INPUTS!C86</f>
        <v>0</v>
      </c>
      <c r="D19" s="34">
        <f>INPUTS!D86</f>
        <v>0</v>
      </c>
      <c r="E19" s="34">
        <f>INPUTS!E86</f>
        <v>0</v>
      </c>
      <c r="F19" s="35">
        <f t="shared" si="1"/>
        <v>0</v>
      </c>
      <c r="G19" s="35">
        <f t="shared" si="2"/>
        <v>0</v>
      </c>
      <c r="H19" s="35">
        <f t="shared" si="3"/>
        <v>0</v>
      </c>
    </row>
    <row r="20">
      <c r="A20" s="32" t="str">
        <f>INPUTS!A87</f>
        <v>Cocoa Soy Crisp</v>
      </c>
      <c r="B20" s="33">
        <f>INPUTS!B87</f>
        <v>0</v>
      </c>
      <c r="C20" s="34">
        <f>INPUTS!C87</f>
        <v>0</v>
      </c>
      <c r="D20" s="34">
        <f>INPUTS!D87</f>
        <v>0</v>
      </c>
      <c r="E20" s="34">
        <f>INPUTS!E87</f>
        <v>0</v>
      </c>
      <c r="F20" s="35">
        <f t="shared" si="1"/>
        <v>0</v>
      </c>
      <c r="G20" s="35">
        <f t="shared" si="2"/>
        <v>0</v>
      </c>
      <c r="H20" s="35">
        <f t="shared" si="3"/>
        <v>0</v>
      </c>
    </row>
    <row r="21" ht="15.75" customHeight="1">
      <c r="A21" s="36" t="s">
        <v>260</v>
      </c>
      <c r="F21" s="37">
        <f t="shared" ref="F21:H21" si="4">SUM(F7:F20)</f>
        <v>0.70988</v>
      </c>
      <c r="G21" s="37">
        <f t="shared" si="4"/>
        <v>0.61886</v>
      </c>
      <c r="H21" s="37">
        <f t="shared" si="4"/>
        <v>0.53692</v>
      </c>
    </row>
    <row r="22" ht="15.75" customHeight="1"/>
    <row r="23" ht="18.0" customHeight="1">
      <c r="A23" s="5" t="s">
        <v>261</v>
      </c>
      <c r="B23" s="6"/>
      <c r="C23" s="6"/>
      <c r="D23" s="6"/>
      <c r="E23" s="6"/>
      <c r="F23" s="6"/>
      <c r="G23" s="6"/>
      <c r="H23" s="6"/>
    </row>
    <row r="24" ht="15.75" customHeight="1">
      <c r="A24" s="7" t="s">
        <v>160</v>
      </c>
      <c r="B24" s="7" t="s">
        <v>256</v>
      </c>
      <c r="C24" s="7" t="s">
        <v>162</v>
      </c>
      <c r="D24" s="7" t="s">
        <v>163</v>
      </c>
      <c r="E24" s="7" t="s">
        <v>164</v>
      </c>
      <c r="F24" s="7" t="s">
        <v>257</v>
      </c>
      <c r="G24" s="7" t="s">
        <v>258</v>
      </c>
      <c r="H24" s="7" t="s">
        <v>259</v>
      </c>
    </row>
    <row r="25" ht="15.75" customHeight="1">
      <c r="A25" s="32" t="str">
        <f>INPUTS!A91</f>
        <v>Ascorbic Acid</v>
      </c>
      <c r="B25" s="33">
        <f>INPUTS!B91</f>
        <v>0.015</v>
      </c>
      <c r="C25" s="34">
        <f>INPUTS!C91</f>
        <v>6.67</v>
      </c>
      <c r="D25" s="34">
        <f>INPUTS!D91</f>
        <v>5.5</v>
      </c>
      <c r="E25" s="34">
        <f>INPUTS!E91</f>
        <v>4.5</v>
      </c>
      <c r="F25" s="35">
        <f t="shared" ref="F25:F33" si="5">B25*C25</f>
        <v>0.10005</v>
      </c>
      <c r="G25" s="35">
        <f t="shared" ref="G25:G33" si="6">B25*D25</f>
        <v>0.0825</v>
      </c>
      <c r="H25" s="35">
        <f t="shared" ref="H25:H33" si="7">B25*E25</f>
        <v>0.0675</v>
      </c>
    </row>
    <row r="26" ht="15.75" customHeight="1">
      <c r="A26" s="32" t="str">
        <f>INPUTS!A92</f>
        <v>Monch Fiber</v>
      </c>
      <c r="B26" s="33">
        <f>INPUTS!B92</f>
        <v>0.008</v>
      </c>
      <c r="C26" s="34">
        <f>INPUTS!C92</f>
        <v>5</v>
      </c>
      <c r="D26" s="34">
        <f>INPUTS!D92</f>
        <v>4</v>
      </c>
      <c r="E26" s="34">
        <f>INPUTS!E92</f>
        <v>3.25</v>
      </c>
      <c r="F26" s="35">
        <f t="shared" si="5"/>
        <v>0.04</v>
      </c>
      <c r="G26" s="35">
        <f t="shared" si="6"/>
        <v>0.032</v>
      </c>
      <c r="H26" s="35">
        <f t="shared" si="7"/>
        <v>0.026</v>
      </c>
    </row>
    <row r="27" ht="15.75" customHeight="1">
      <c r="A27" s="32" t="str">
        <f>INPUTS!A93</f>
        <v>Citric Acid</v>
      </c>
      <c r="B27" s="33">
        <f>INPUTS!B93</f>
        <v>0.005</v>
      </c>
      <c r="C27" s="34">
        <f>INPUTS!C93</f>
        <v>6</v>
      </c>
      <c r="D27" s="34">
        <f>INPUTS!D93</f>
        <v>5</v>
      </c>
      <c r="E27" s="34">
        <f>INPUTS!E93</f>
        <v>4</v>
      </c>
      <c r="F27" s="35">
        <f t="shared" si="5"/>
        <v>0.03</v>
      </c>
      <c r="G27" s="35">
        <f t="shared" si="6"/>
        <v>0.025</v>
      </c>
      <c r="H27" s="35">
        <f t="shared" si="7"/>
        <v>0.02</v>
      </c>
    </row>
    <row r="28" ht="15.75" customHeight="1">
      <c r="A28" s="32" t="str">
        <f>INPUTS!A94</f>
        <v>Salt</v>
      </c>
      <c r="B28" s="33">
        <f>INPUTS!B94</f>
        <v>0.003</v>
      </c>
      <c r="C28" s="34">
        <f>INPUTS!C94</f>
        <v>0.5</v>
      </c>
      <c r="D28" s="34">
        <f>INPUTS!D94</f>
        <v>0.4</v>
      </c>
      <c r="E28" s="34">
        <f>INPUTS!E94</f>
        <v>0.33</v>
      </c>
      <c r="F28" s="35">
        <f t="shared" si="5"/>
        <v>0.0015</v>
      </c>
      <c r="G28" s="35">
        <f t="shared" si="6"/>
        <v>0.0012</v>
      </c>
      <c r="H28" s="35">
        <f t="shared" si="7"/>
        <v>0.00099</v>
      </c>
    </row>
    <row r="29" ht="15.75" customHeight="1">
      <c r="A29" s="32" t="str">
        <f>INPUTS!A95</f>
        <v>Potassium Cl</v>
      </c>
      <c r="B29" s="33">
        <f>INPUTS!B95</f>
        <v>0.005</v>
      </c>
      <c r="C29" s="34">
        <f>INPUTS!C95</f>
        <v>4</v>
      </c>
      <c r="D29" s="34">
        <f>INPUTS!D95</f>
        <v>3.5</v>
      </c>
      <c r="E29" s="34">
        <f>INPUTS!E95</f>
        <v>3</v>
      </c>
      <c r="F29" s="35">
        <f t="shared" si="5"/>
        <v>0.02</v>
      </c>
      <c r="G29" s="35">
        <f t="shared" si="6"/>
        <v>0.0175</v>
      </c>
      <c r="H29" s="35">
        <f t="shared" si="7"/>
        <v>0.015</v>
      </c>
    </row>
    <row r="30" ht="15.75" customHeight="1">
      <c r="A30" s="32" t="str">
        <f>INPUTS!A96</f>
        <v>Magnesium Malate</v>
      </c>
      <c r="B30" s="33">
        <f>INPUTS!B96</f>
        <v>0.008</v>
      </c>
      <c r="C30" s="34">
        <f>INPUTS!C96</f>
        <v>5</v>
      </c>
      <c r="D30" s="34">
        <f>INPUTS!D96</f>
        <v>4.25</v>
      </c>
      <c r="E30" s="34">
        <f>INPUTS!E96</f>
        <v>3.5</v>
      </c>
      <c r="F30" s="35">
        <f t="shared" si="5"/>
        <v>0.04</v>
      </c>
      <c r="G30" s="35">
        <f t="shared" si="6"/>
        <v>0.034</v>
      </c>
      <c r="H30" s="35">
        <f t="shared" si="7"/>
        <v>0.028</v>
      </c>
    </row>
    <row r="31" ht="15.75" customHeight="1">
      <c r="A31" s="32" t="str">
        <f>INPUTS!A97</f>
        <v>Purified Stevia</v>
      </c>
      <c r="B31" s="33">
        <f>INPUTS!B97</f>
        <v>0.003</v>
      </c>
      <c r="C31" s="34">
        <f>INPUTS!C97</f>
        <v>1.33</v>
      </c>
      <c r="D31" s="34">
        <f>INPUTS!D97</f>
        <v>1</v>
      </c>
      <c r="E31" s="34">
        <f>INPUTS!E97</f>
        <v>0.83</v>
      </c>
      <c r="F31" s="35">
        <f t="shared" si="5"/>
        <v>0.00399</v>
      </c>
      <c r="G31" s="35">
        <f t="shared" si="6"/>
        <v>0.003</v>
      </c>
      <c r="H31" s="35">
        <f t="shared" si="7"/>
        <v>0.00249</v>
      </c>
    </row>
    <row r="32" ht="15.75" customHeight="1">
      <c r="A32" s="32" t="str">
        <f>INPUTS!A98</f>
        <v>Flavoring</v>
      </c>
      <c r="B32" s="33">
        <f>INPUTS!B98</f>
        <v>0.01</v>
      </c>
      <c r="C32" s="34">
        <f>INPUTS!C98</f>
        <v>4</v>
      </c>
      <c r="D32" s="34">
        <f>INPUTS!D98</f>
        <v>3.5</v>
      </c>
      <c r="E32" s="34">
        <f>INPUTS!E98</f>
        <v>3</v>
      </c>
      <c r="F32" s="35">
        <f t="shared" si="5"/>
        <v>0.04</v>
      </c>
      <c r="G32" s="35">
        <f t="shared" si="6"/>
        <v>0.035</v>
      </c>
      <c r="H32" s="35">
        <f t="shared" si="7"/>
        <v>0.03</v>
      </c>
    </row>
    <row r="33" ht="15.75" customHeight="1">
      <c r="A33" s="32" t="str">
        <f>INPUTS!A99</f>
        <v>Sachet Pkg</v>
      </c>
      <c r="B33" s="33">
        <f>INPUTS!B99</f>
        <v>1</v>
      </c>
      <c r="C33" s="34">
        <f>INPUTS!C99</f>
        <v>0.05</v>
      </c>
      <c r="D33" s="34">
        <f>INPUTS!D99</f>
        <v>0.04</v>
      </c>
      <c r="E33" s="34">
        <f>INPUTS!E99</f>
        <v>0.03</v>
      </c>
      <c r="F33" s="35">
        <f t="shared" si="5"/>
        <v>0.05</v>
      </c>
      <c r="G33" s="35">
        <f t="shared" si="6"/>
        <v>0.04</v>
      </c>
      <c r="H33" s="35">
        <f t="shared" si="7"/>
        <v>0.03</v>
      </c>
    </row>
    <row r="34" ht="15.75" customHeight="1">
      <c r="A34" s="36" t="s">
        <v>262</v>
      </c>
      <c r="F34" s="37">
        <f t="shared" ref="F34:H34" si="8">SUM(F25:F33)</f>
        <v>0.32554</v>
      </c>
      <c r="G34" s="37">
        <f t="shared" si="8"/>
        <v>0.2702</v>
      </c>
      <c r="H34" s="37">
        <f t="shared" si="8"/>
        <v>0.21998</v>
      </c>
    </row>
    <row r="35" ht="15.75" customHeight="1"/>
    <row r="36" ht="18.0" customHeight="1">
      <c r="A36" s="5" t="s">
        <v>263</v>
      </c>
      <c r="B36" s="6"/>
      <c r="C36" s="6"/>
      <c r="D36" s="6"/>
      <c r="E36" s="6"/>
      <c r="F36" s="6"/>
      <c r="G36" s="6"/>
      <c r="H36" s="6"/>
    </row>
    <row r="37" ht="15.75" customHeight="1">
      <c r="A37" s="7" t="s">
        <v>264</v>
      </c>
      <c r="B37" s="7" t="s">
        <v>265</v>
      </c>
      <c r="C37" s="7"/>
      <c r="D37" s="7"/>
      <c r="E37" s="7"/>
      <c r="F37" s="7"/>
      <c r="G37" s="7"/>
      <c r="H37" s="7" t="s">
        <v>63</v>
      </c>
    </row>
    <row r="38" ht="15.75" customHeight="1">
      <c r="A38" s="8" t="s">
        <v>266</v>
      </c>
      <c r="B38" s="38">
        <f>SUMPRODUCT(INPUTS!F74:F87,INPUTS!C74:C87)</f>
        <v>5225</v>
      </c>
      <c r="H38" s="10" t="s">
        <v>267</v>
      </c>
    </row>
    <row r="39" ht="15.75" customHeight="1">
      <c r="A39" s="8" t="s">
        <v>268</v>
      </c>
      <c r="B39" s="38">
        <f>SUMPRODUCT(INPUTS!F91:F99,INPUTS!C91:C99)</f>
        <v>2150</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42.57"/>
    <col customWidth="1" min="2" max="2" width="16.0"/>
    <col customWidth="1" min="3" max="10" width="14.0"/>
    <col customWidth="1" min="11" max="11" width="18.0"/>
    <col customWidth="1" min="12" max="26" width="8.71"/>
  </cols>
  <sheetData>
    <row r="1" ht="21.75" customHeight="1">
      <c r="A1" s="1" t="s">
        <v>269</v>
      </c>
    </row>
    <row r="3">
      <c r="A3" s="10" t="s">
        <v>270</v>
      </c>
    </row>
    <row r="5" ht="18.0" customHeight="1">
      <c r="A5" s="5" t="s">
        <v>271</v>
      </c>
      <c r="B5" s="6"/>
      <c r="C5" s="6"/>
      <c r="D5" s="6"/>
      <c r="E5" s="6"/>
      <c r="F5" s="6"/>
      <c r="G5" s="6"/>
      <c r="H5" s="6"/>
      <c r="I5" s="6"/>
      <c r="J5" s="6"/>
      <c r="K5" s="6"/>
    </row>
    <row r="6">
      <c r="A6" s="7" t="s">
        <v>272</v>
      </c>
      <c r="B6" s="7" t="s">
        <v>127</v>
      </c>
      <c r="C6" s="7" t="s">
        <v>273</v>
      </c>
      <c r="D6" s="7" t="s">
        <v>274</v>
      </c>
      <c r="E6" s="7" t="s">
        <v>275</v>
      </c>
      <c r="F6" s="7" t="s">
        <v>276</v>
      </c>
      <c r="G6" s="7" t="s">
        <v>277</v>
      </c>
      <c r="H6" s="7" t="s">
        <v>278</v>
      </c>
      <c r="I6" s="7" t="s">
        <v>279</v>
      </c>
      <c r="J6" s="7"/>
      <c r="K6" s="7" t="s">
        <v>280</v>
      </c>
    </row>
    <row r="7">
      <c r="A7" s="39">
        <f>INPUTS!A51</f>
        <v>1</v>
      </c>
      <c r="B7" s="32" t="str">
        <f>INPUTS!B51</f>
        <v>1–999</v>
      </c>
      <c r="C7" s="39">
        <f>INPUTS!D51</f>
        <v>500</v>
      </c>
      <c r="D7" s="34">
        <f>IF(A7&lt;=2,CALC_RM!$F$21,IF(A7&lt;=4,CALC_RM!$G$21,CALC_RM!$H$21))</f>
        <v>0.70988</v>
      </c>
      <c r="E7" s="34">
        <f>(INPUTS!$B$22/C7)*INPUTS!G51</f>
        <v>1.864</v>
      </c>
      <c r="F7" s="40">
        <f>INPUTS!$B$25/C7</f>
        <v>10</v>
      </c>
      <c r="G7" s="34">
        <f>INPUTS!E51</f>
        <v>1.35</v>
      </c>
      <c r="H7" s="26">
        <v>0.0</v>
      </c>
      <c r="I7" s="41">
        <f t="shared" ref="I7:I13" si="1">D7+E7+F7+G7+H7</f>
        <v>13.92388</v>
      </c>
      <c r="K7" s="41">
        <f t="shared" ref="K7:K13" si="2">D7+E7+G7+H7</f>
        <v>3.92388</v>
      </c>
    </row>
    <row r="8">
      <c r="A8" s="39">
        <f>INPUTS!A52</f>
        <v>2</v>
      </c>
      <c r="B8" s="32" t="str">
        <f>INPUTS!B52</f>
        <v>1K–10K</v>
      </c>
      <c r="C8" s="39">
        <f>INPUTS!D52</f>
        <v>5000</v>
      </c>
      <c r="D8" s="34">
        <f>IF(A8&lt;=2,CALC_RM!$F$21,IF(A8&lt;=4,CALC_RM!$G$21,CALC_RM!$H$21))</f>
        <v>0.70988</v>
      </c>
      <c r="E8" s="34">
        <f>(INPUTS!$B$22/C8)*INPUTS!G52</f>
        <v>0.1398</v>
      </c>
      <c r="F8" s="40">
        <f>INPUTS!$B$25/C8</f>
        <v>1</v>
      </c>
      <c r="G8" s="34">
        <f>INPUTS!E52</f>
        <v>1.2</v>
      </c>
      <c r="H8" s="26">
        <v>0.0</v>
      </c>
      <c r="I8" s="41">
        <f t="shared" si="1"/>
        <v>3.04968</v>
      </c>
      <c r="K8" s="41">
        <f t="shared" si="2"/>
        <v>2.04968</v>
      </c>
    </row>
    <row r="9">
      <c r="A9" s="39">
        <f>INPUTS!A53</f>
        <v>3</v>
      </c>
      <c r="B9" s="32" t="str">
        <f>INPUTS!B53</f>
        <v>10K–100K</v>
      </c>
      <c r="C9" s="39">
        <f>INPUTS!D53</f>
        <v>50000</v>
      </c>
      <c r="D9" s="34">
        <f>IF(A9&lt;=2,CALC_RM!$F$21,IF(A9&lt;=4,CALC_RM!$G$21,CALC_RM!$H$21))</f>
        <v>0.61886</v>
      </c>
      <c r="E9" s="34">
        <f>(INPUTS!$B$22/C9)*INPUTS!G53</f>
        <v>0.00932</v>
      </c>
      <c r="F9" s="40">
        <f>INPUTS!$B$25/C9</f>
        <v>0.1</v>
      </c>
      <c r="G9" s="34">
        <f>INPUTS!E53</f>
        <v>1.1</v>
      </c>
      <c r="H9" s="26">
        <v>0.0</v>
      </c>
      <c r="I9" s="41">
        <f t="shared" si="1"/>
        <v>1.82818</v>
      </c>
      <c r="K9" s="41">
        <f t="shared" si="2"/>
        <v>1.72818</v>
      </c>
    </row>
    <row r="10">
      <c r="A10" s="39">
        <f>INPUTS!A54</f>
        <v>4</v>
      </c>
      <c r="B10" s="32" t="str">
        <f>INPUTS!B54</f>
        <v>100K–500K</v>
      </c>
      <c r="C10" s="39">
        <f>INPUTS!D54</f>
        <v>250000</v>
      </c>
      <c r="D10" s="34">
        <f>IF(A10&lt;=2,CALC_RM!$F$21,IF(A10&lt;=4,CALC_RM!$G$21,CALC_RM!$H$21))</f>
        <v>0.61886</v>
      </c>
      <c r="E10" s="34">
        <f>(INPUTS!$B$22/C10)*INPUTS!G54</f>
        <v>0.0013048</v>
      </c>
      <c r="F10" s="40">
        <f>INPUTS!$B$25/C10</f>
        <v>0.02</v>
      </c>
      <c r="G10" s="34">
        <f>INPUTS!E54</f>
        <v>1</v>
      </c>
      <c r="H10" s="26">
        <v>0.0</v>
      </c>
      <c r="I10" s="41">
        <f t="shared" si="1"/>
        <v>1.6401648</v>
      </c>
      <c r="K10" s="41">
        <f t="shared" si="2"/>
        <v>1.6201648</v>
      </c>
    </row>
    <row r="11">
      <c r="A11" s="39">
        <f>INPUTS!A55</f>
        <v>5</v>
      </c>
      <c r="B11" s="32" t="str">
        <f>INPUTS!B55</f>
        <v>500K–1M</v>
      </c>
      <c r="C11" s="39">
        <f>INPUTS!D55</f>
        <v>750000</v>
      </c>
      <c r="D11" s="34">
        <f>IF(A11&lt;=2,CALC_RM!$F$21,IF(A11&lt;=4,CALC_RM!$G$21,CALC_RM!$H$21))</f>
        <v>0.53692</v>
      </c>
      <c r="E11" s="34">
        <f>(INPUTS!$B$22/C11)*INPUTS!G55</f>
        <v>0.0003106666667</v>
      </c>
      <c r="F11" s="40">
        <f>INPUTS!$B$25/C11</f>
        <v>0.006666666667</v>
      </c>
      <c r="G11" s="34">
        <f>INPUTS!E55</f>
        <v>0.92</v>
      </c>
      <c r="H11" s="26">
        <v>0.0</v>
      </c>
      <c r="I11" s="41">
        <f t="shared" si="1"/>
        <v>1.463897333</v>
      </c>
      <c r="K11" s="41">
        <f t="shared" si="2"/>
        <v>1.457230667</v>
      </c>
    </row>
    <row r="12">
      <c r="A12" s="39">
        <f>INPUTS!A56</f>
        <v>6</v>
      </c>
      <c r="B12" s="32" t="str">
        <f>INPUTS!B56</f>
        <v>1M–5M</v>
      </c>
      <c r="C12" s="39">
        <f>INPUTS!D56</f>
        <v>2500000</v>
      </c>
      <c r="D12" s="34">
        <f>IF(A12&lt;=2,CALC_RM!$F$21,IF(A12&lt;=4,CALC_RM!$G$21,CALC_RM!$H$21))</f>
        <v>0.53692</v>
      </c>
      <c r="E12" s="34">
        <f>(INPUTS!$B$22/C12)*INPUTS!G56</f>
        <v>0.000067104</v>
      </c>
      <c r="F12" s="40">
        <f>INPUTS!$B$25/C12</f>
        <v>0.002</v>
      </c>
      <c r="G12" s="34">
        <f>INPUTS!E56</f>
        <v>0.85</v>
      </c>
      <c r="H12" s="26">
        <v>0.0</v>
      </c>
      <c r="I12" s="41">
        <f t="shared" si="1"/>
        <v>1.388987104</v>
      </c>
      <c r="K12" s="41">
        <f t="shared" si="2"/>
        <v>1.386987104</v>
      </c>
    </row>
    <row r="13">
      <c r="A13" s="39">
        <f>INPUTS!A57</f>
        <v>7</v>
      </c>
      <c r="B13" s="32" t="str">
        <f>INPUTS!B57</f>
        <v>5M+</v>
      </c>
      <c r="C13" s="39">
        <f>INPUTS!D57</f>
        <v>7500000</v>
      </c>
      <c r="D13" s="34">
        <f>IF(A13&lt;=2,CALC_RM!$F$21,IF(A13&lt;=4,CALC_RM!$G$21,CALC_RM!$H$21))</f>
        <v>0.53692</v>
      </c>
      <c r="E13" s="34">
        <f>(INPUTS!$B$22/C13)*INPUTS!G57</f>
        <v>0.000014912</v>
      </c>
      <c r="F13" s="40">
        <f>INPUTS!$B$25/C13</f>
        <v>0.0006666666667</v>
      </c>
      <c r="G13" s="34">
        <f>INPUTS!E57</f>
        <v>0.8</v>
      </c>
      <c r="H13" s="26">
        <v>0.0</v>
      </c>
      <c r="I13" s="41">
        <f t="shared" si="1"/>
        <v>1.337601579</v>
      </c>
      <c r="K13" s="41">
        <f t="shared" si="2"/>
        <v>1.336934912</v>
      </c>
    </row>
    <row r="16" ht="18.0" customHeight="1">
      <c r="A16" s="5" t="s">
        <v>281</v>
      </c>
      <c r="B16" s="6"/>
      <c r="C16" s="6"/>
      <c r="D16" s="6"/>
      <c r="E16" s="6"/>
      <c r="F16" s="6"/>
      <c r="G16" s="6"/>
      <c r="H16" s="6"/>
      <c r="I16" s="6"/>
      <c r="J16" s="6"/>
      <c r="K16" s="6"/>
    </row>
    <row r="17">
      <c r="A17" s="7" t="s">
        <v>272</v>
      </c>
      <c r="B17" s="7" t="s">
        <v>127</v>
      </c>
      <c r="C17" s="7" t="s">
        <v>273</v>
      </c>
      <c r="D17" s="7" t="s">
        <v>274</v>
      </c>
      <c r="E17" s="7" t="s">
        <v>275</v>
      </c>
      <c r="F17" s="7" t="s">
        <v>276</v>
      </c>
      <c r="G17" s="7" t="s">
        <v>277</v>
      </c>
      <c r="H17" s="7" t="s">
        <v>278</v>
      </c>
      <c r="I17" s="7" t="s">
        <v>279</v>
      </c>
      <c r="J17" s="7"/>
      <c r="K17" s="7" t="s">
        <v>280</v>
      </c>
    </row>
    <row r="18">
      <c r="A18" s="39">
        <f>INPUTS!A51</f>
        <v>1</v>
      </c>
      <c r="B18" s="32" t="str">
        <f>INPUTS!B51</f>
        <v>1–999</v>
      </c>
      <c r="C18" s="39">
        <f>INPUTS!D51</f>
        <v>500</v>
      </c>
      <c r="D18" s="34">
        <f>IF(A18&lt;=2,CALC_RM!$F$34,IF(A18&lt;=4,CALC_RM!$G$34,CALC_RM!$H$34))</f>
        <v>0.32554</v>
      </c>
      <c r="E18" s="34">
        <f>(INPUTS!$B$22/C18)*INPUTS!G51</f>
        <v>1.864</v>
      </c>
      <c r="F18" s="40">
        <f>INPUTS!$B$25/C18</f>
        <v>10</v>
      </c>
      <c r="G18" s="34">
        <f>INPUTS!F51</f>
        <v>0.45</v>
      </c>
      <c r="H18" s="26">
        <v>0.0</v>
      </c>
      <c r="I18" s="41">
        <f t="shared" ref="I18:I24" si="3">D18+E18+F18+G18+H18</f>
        <v>12.63954</v>
      </c>
      <c r="K18" s="41">
        <f t="shared" ref="K18:K24" si="4">D18+E18+G18+H18</f>
        <v>2.63954</v>
      </c>
    </row>
    <row r="19">
      <c r="A19" s="39">
        <f>INPUTS!A52</f>
        <v>2</v>
      </c>
      <c r="B19" s="32" t="str">
        <f>INPUTS!B52</f>
        <v>1K–10K</v>
      </c>
      <c r="C19" s="39">
        <f>INPUTS!D52</f>
        <v>5000</v>
      </c>
      <c r="D19" s="34">
        <f>IF(A19&lt;=2,CALC_RM!$F$34,IF(A19&lt;=4,CALC_RM!$G$34,CALC_RM!$H$34))</f>
        <v>0.32554</v>
      </c>
      <c r="E19" s="34">
        <f>(INPUTS!$B$22/C19)*INPUTS!G52</f>
        <v>0.1398</v>
      </c>
      <c r="F19" s="40">
        <f>INPUTS!$B$25/C19</f>
        <v>1</v>
      </c>
      <c r="G19" s="34">
        <f>INPUTS!F52</f>
        <v>0.4</v>
      </c>
      <c r="H19" s="26">
        <v>0.0</v>
      </c>
      <c r="I19" s="41">
        <f t="shared" si="3"/>
        <v>1.86534</v>
      </c>
      <c r="K19" s="41">
        <f t="shared" si="4"/>
        <v>0.86534</v>
      </c>
    </row>
    <row r="20">
      <c r="A20" s="39">
        <f>INPUTS!A53</f>
        <v>3</v>
      </c>
      <c r="B20" s="32" t="str">
        <f>INPUTS!B53</f>
        <v>10K–100K</v>
      </c>
      <c r="C20" s="39">
        <f>INPUTS!D53</f>
        <v>50000</v>
      </c>
      <c r="D20" s="34">
        <f>IF(A20&lt;=2,CALC_RM!$F$34,IF(A20&lt;=4,CALC_RM!$G$34,CALC_RM!$H$34))</f>
        <v>0.2702</v>
      </c>
      <c r="E20" s="34">
        <f>(INPUTS!$B$22/C20)*INPUTS!G53</f>
        <v>0.00932</v>
      </c>
      <c r="F20" s="40">
        <f>INPUTS!$B$25/C20</f>
        <v>0.1</v>
      </c>
      <c r="G20" s="34">
        <f>INPUTS!F53</f>
        <v>0.35</v>
      </c>
      <c r="H20" s="26">
        <v>0.0</v>
      </c>
      <c r="I20" s="41">
        <f t="shared" si="3"/>
        <v>0.72952</v>
      </c>
      <c r="K20" s="41">
        <f t="shared" si="4"/>
        <v>0.62952</v>
      </c>
    </row>
    <row r="21" ht="15.75" customHeight="1">
      <c r="A21" s="39">
        <f>INPUTS!A54</f>
        <v>4</v>
      </c>
      <c r="B21" s="32" t="str">
        <f>INPUTS!B54</f>
        <v>100K–500K</v>
      </c>
      <c r="C21" s="39">
        <f>INPUTS!D54</f>
        <v>250000</v>
      </c>
      <c r="D21" s="34">
        <f>IF(A21&lt;=2,CALC_RM!$F$34,IF(A21&lt;=4,CALC_RM!$G$34,CALC_RM!$H$34))</f>
        <v>0.2702</v>
      </c>
      <c r="E21" s="34">
        <f>(INPUTS!$B$22/C21)*INPUTS!G54</f>
        <v>0.0013048</v>
      </c>
      <c r="F21" s="40">
        <f>INPUTS!$B$25/C21</f>
        <v>0.02</v>
      </c>
      <c r="G21" s="34">
        <f>INPUTS!F54</f>
        <v>0.3</v>
      </c>
      <c r="H21" s="26">
        <v>0.0</v>
      </c>
      <c r="I21" s="41">
        <f t="shared" si="3"/>
        <v>0.5915048</v>
      </c>
      <c r="K21" s="41">
        <f t="shared" si="4"/>
        <v>0.5715048</v>
      </c>
    </row>
    <row r="22" ht="15.75" customHeight="1">
      <c r="A22" s="39">
        <f>INPUTS!A55</f>
        <v>5</v>
      </c>
      <c r="B22" s="32" t="str">
        <f>INPUTS!B55</f>
        <v>500K–1M</v>
      </c>
      <c r="C22" s="39">
        <f>INPUTS!D55</f>
        <v>750000</v>
      </c>
      <c r="D22" s="34">
        <f>IF(A22&lt;=2,CALC_RM!$F$34,IF(A22&lt;=4,CALC_RM!$G$34,CALC_RM!$H$34))</f>
        <v>0.21998</v>
      </c>
      <c r="E22" s="34">
        <f>(INPUTS!$B$22/C22)*INPUTS!G55</f>
        <v>0.0003106666667</v>
      </c>
      <c r="F22" s="40">
        <f>INPUTS!$B$25/C22</f>
        <v>0.006666666667</v>
      </c>
      <c r="G22" s="34">
        <f>INPUTS!F55</f>
        <v>0.27</v>
      </c>
      <c r="H22" s="26">
        <v>0.0</v>
      </c>
      <c r="I22" s="41">
        <f t="shared" si="3"/>
        <v>0.4969573333</v>
      </c>
      <c r="K22" s="41">
        <f t="shared" si="4"/>
        <v>0.4902906667</v>
      </c>
    </row>
    <row r="23" ht="15.75" customHeight="1">
      <c r="A23" s="39">
        <f>INPUTS!A56</f>
        <v>6</v>
      </c>
      <c r="B23" s="32" t="str">
        <f>INPUTS!B56</f>
        <v>1M–5M</v>
      </c>
      <c r="C23" s="39">
        <f>INPUTS!D56</f>
        <v>2500000</v>
      </c>
      <c r="D23" s="34">
        <f>IF(A23&lt;=2,CALC_RM!$F$34,IF(A23&lt;=4,CALC_RM!$G$34,CALC_RM!$H$34))</f>
        <v>0.21998</v>
      </c>
      <c r="E23" s="34">
        <f>(INPUTS!$B$22/C23)*INPUTS!G56</f>
        <v>0.000067104</v>
      </c>
      <c r="F23" s="40">
        <f>INPUTS!$B$25/C23</f>
        <v>0.002</v>
      </c>
      <c r="G23" s="34">
        <f>INPUTS!F56</f>
        <v>0.25</v>
      </c>
      <c r="H23" s="26">
        <v>0.0</v>
      </c>
      <c r="I23" s="41">
        <f t="shared" si="3"/>
        <v>0.472047104</v>
      </c>
      <c r="K23" s="41">
        <f t="shared" si="4"/>
        <v>0.470047104</v>
      </c>
    </row>
    <row r="24" ht="15.75" customHeight="1">
      <c r="A24" s="39">
        <f>INPUTS!A57</f>
        <v>7</v>
      </c>
      <c r="B24" s="32" t="str">
        <f>INPUTS!B57</f>
        <v>5M+</v>
      </c>
      <c r="C24" s="39">
        <f>INPUTS!D57</f>
        <v>7500000</v>
      </c>
      <c r="D24" s="34">
        <f>IF(A24&lt;=2,CALC_RM!$F$34,IF(A24&lt;=4,CALC_RM!$G$34,CALC_RM!$H$34))</f>
        <v>0.21998</v>
      </c>
      <c r="E24" s="34">
        <f>(INPUTS!$B$22/C24)*INPUTS!G57</f>
        <v>0.000014912</v>
      </c>
      <c r="F24" s="40">
        <f>INPUTS!$B$25/C24</f>
        <v>0.0006666666667</v>
      </c>
      <c r="G24" s="34">
        <f>INPUTS!F57</f>
        <v>0.22</v>
      </c>
      <c r="H24" s="26">
        <v>0.0</v>
      </c>
      <c r="I24" s="41">
        <f t="shared" si="3"/>
        <v>0.4406615787</v>
      </c>
      <c r="K24" s="41">
        <f t="shared" si="4"/>
        <v>0.439994912</v>
      </c>
    </row>
    <row r="25" ht="15.75" customHeight="1"/>
    <row r="26" ht="15.75" customHeight="1"/>
    <row r="27" ht="18.0" customHeight="1">
      <c r="A27" s="5" t="s">
        <v>282</v>
      </c>
      <c r="B27" s="6"/>
      <c r="C27" s="6"/>
      <c r="D27" s="6"/>
      <c r="E27" s="6"/>
      <c r="F27" s="6"/>
      <c r="G27" s="6"/>
      <c r="H27" s="6"/>
      <c r="I27" s="6"/>
      <c r="J27" s="6"/>
      <c r="K27" s="6"/>
    </row>
    <row r="28" ht="15.75" customHeight="1">
      <c r="A28" s="10" t="s">
        <v>283</v>
      </c>
    </row>
    <row r="29" ht="15.75" customHeight="1">
      <c r="A29" s="10" t="s">
        <v>284</v>
      </c>
    </row>
    <row r="30" ht="15.75" customHeight="1">
      <c r="A30" s="10" t="s">
        <v>285</v>
      </c>
    </row>
    <row r="31" ht="15.75" customHeight="1">
      <c r="A31" s="10" t="s">
        <v>286</v>
      </c>
    </row>
    <row r="32" ht="15.75" customHeight="1">
      <c r="A32" s="10" t="s">
        <v>287</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6.0" topLeftCell="B7" activePane="bottomRight" state="frozen"/>
      <selection activeCell="B1" sqref="B1" pane="topRight"/>
      <selection activeCell="A7" sqref="A7" pane="bottomLeft"/>
      <selection activeCell="B7" sqref="B7" pane="bottomRight"/>
    </sheetView>
  </sheetViews>
  <sheetFormatPr customHeight="1" defaultColWidth="14.43" defaultRowHeight="15.0"/>
  <cols>
    <col customWidth="1" min="1" max="1" width="32.0"/>
    <col customWidth="1" min="2" max="13" width="13.14"/>
    <col customWidth="1" min="14" max="14" width="14.0"/>
    <col customWidth="1" min="15" max="26" width="8.71"/>
  </cols>
  <sheetData>
    <row r="1" ht="21.75" customHeight="1">
      <c r="A1" s="1" t="s">
        <v>288</v>
      </c>
    </row>
    <row r="2">
      <c r="A2" s="10" t="s">
        <v>289</v>
      </c>
    </row>
    <row r="3">
      <c r="A3" s="16" t="s">
        <v>290</v>
      </c>
      <c r="B3" s="42">
        <f>SUMIFS(INPUTS!C41:C46,INPUTS!B41:B46,"Yes")</f>
        <v>1</v>
      </c>
      <c r="D3" s="10" t="s">
        <v>291</v>
      </c>
    </row>
    <row r="5">
      <c r="A5" s="16" t="s">
        <v>292</v>
      </c>
      <c r="B5" s="43">
        <v>1.0</v>
      </c>
      <c r="C5" s="43">
        <v>2.0</v>
      </c>
      <c r="D5" s="43">
        <v>3.0</v>
      </c>
      <c r="E5" s="43">
        <v>4.0</v>
      </c>
      <c r="F5" s="43">
        <v>5.0</v>
      </c>
      <c r="G5" s="43">
        <v>6.0</v>
      </c>
      <c r="H5" s="43">
        <v>7.0</v>
      </c>
      <c r="I5" s="43">
        <v>8.0</v>
      </c>
      <c r="J5" s="43">
        <v>9.0</v>
      </c>
      <c r="K5" s="43">
        <v>10.0</v>
      </c>
      <c r="L5" s="43">
        <v>11.0</v>
      </c>
      <c r="M5" s="43">
        <v>12.0</v>
      </c>
      <c r="N5" s="43" t="s">
        <v>293</v>
      </c>
    </row>
    <row r="6">
      <c r="A6" s="16" t="s">
        <v>294</v>
      </c>
      <c r="B6" s="44" t="s">
        <v>198</v>
      </c>
      <c r="C6" s="44" t="s">
        <v>199</v>
      </c>
      <c r="D6" s="44" t="s">
        <v>200</v>
      </c>
      <c r="E6" s="44" t="s">
        <v>201</v>
      </c>
      <c r="F6" s="44" t="s">
        <v>202</v>
      </c>
      <c r="G6" s="44" t="s">
        <v>203</v>
      </c>
      <c r="H6" s="44" t="s">
        <v>204</v>
      </c>
      <c r="I6" s="44" t="s">
        <v>205</v>
      </c>
      <c r="J6" s="44" t="s">
        <v>206</v>
      </c>
      <c r="K6" s="44" t="s">
        <v>207</v>
      </c>
      <c r="L6" s="44" t="s">
        <v>208</v>
      </c>
      <c r="M6" s="44" t="s">
        <v>209</v>
      </c>
    </row>
    <row r="7">
      <c r="A7" s="8" t="s">
        <v>295</v>
      </c>
      <c r="B7" s="39">
        <f>ROUND(INPUTS!B103*INPUTS!D103,0)</f>
        <v>2300</v>
      </c>
      <c r="C7" s="39">
        <f>ROUND(INPUTS!B104*INPUTS!D104,0)</f>
        <v>3300</v>
      </c>
      <c r="D7" s="39">
        <f>ROUND(INPUTS!B105*INPUTS!D105,0)</f>
        <v>4200</v>
      </c>
      <c r="E7" s="39">
        <f>ROUND(INPUTS!B106*INPUTS!D106,0)</f>
        <v>4750</v>
      </c>
      <c r="F7" s="39">
        <f>ROUND(INPUTS!B107*INPUTS!D107,0)</f>
        <v>4950</v>
      </c>
      <c r="G7" s="39">
        <f>ROUND(INPUTS!B108*INPUTS!D108,0)</f>
        <v>5700</v>
      </c>
      <c r="H7" s="39">
        <f>ROUND(INPUTS!B109*INPUTS!D109,0)</f>
        <v>6500</v>
      </c>
      <c r="I7" s="39">
        <f>ROUND(INPUTS!B110*INPUTS!D110,0)</f>
        <v>7000</v>
      </c>
      <c r="J7" s="39">
        <f>ROUND(INPUTS!B111*INPUTS!D111,0)</f>
        <v>7125</v>
      </c>
      <c r="K7" s="39">
        <f>ROUND(INPUTS!B112*INPUTS!D112,0)</f>
        <v>7600</v>
      </c>
      <c r="L7" s="39">
        <f>ROUND(INPUTS!B113*INPUTS!D113,0)</f>
        <v>8500</v>
      </c>
      <c r="M7" s="39">
        <f>ROUND(INPUTS!B114*INPUTS!D114,0)</f>
        <v>9000</v>
      </c>
      <c r="N7" s="45">
        <f t="shared" ref="N7:N8" si="1">SUM(B7:M7)</f>
        <v>70925</v>
      </c>
    </row>
    <row r="8">
      <c r="A8" s="8" t="s">
        <v>296</v>
      </c>
      <c r="B8" s="39">
        <f>ROUND(INPUTS!C103*INPUTS!E103,0)</f>
        <v>1275</v>
      </c>
      <c r="C8" s="39">
        <f>ROUND(INPUTS!C104*INPUTS!E104,0)</f>
        <v>2125</v>
      </c>
      <c r="D8" s="39">
        <f>ROUND(INPUTS!C105*INPUTS!E105,0)</f>
        <v>3150</v>
      </c>
      <c r="E8" s="39">
        <f>ROUND(INPUTS!C106*INPUTS!E106,0)</f>
        <v>4500</v>
      </c>
      <c r="F8" s="39">
        <f>ROUND(INPUTS!C107*INPUTS!E107,0)</f>
        <v>5500</v>
      </c>
      <c r="G8" s="39">
        <f>ROUND(INPUTS!C108*INPUTS!E108,0)</f>
        <v>6600</v>
      </c>
      <c r="H8" s="39">
        <f>ROUND(INPUTS!C109*INPUTS!E109,0)</f>
        <v>7500</v>
      </c>
      <c r="I8" s="39">
        <f>ROUND(INPUTS!C110*INPUTS!E110,0)</f>
        <v>7800</v>
      </c>
      <c r="J8" s="39">
        <f>ROUND(INPUTS!C111*INPUTS!E111,0)</f>
        <v>7350</v>
      </c>
      <c r="K8" s="39">
        <f>ROUND(INPUTS!C112*INPUTS!E112,0)</f>
        <v>6750</v>
      </c>
      <c r="L8" s="39">
        <f>ROUND(INPUTS!C113*INPUTS!E113,0)</f>
        <v>6800</v>
      </c>
      <c r="M8" s="39">
        <f>ROUND(INPUTS!C114*INPUTS!E114,0)</f>
        <v>7225</v>
      </c>
      <c r="N8" s="45">
        <f t="shared" si="1"/>
        <v>66575</v>
      </c>
    </row>
    <row r="10" ht="18.0" customHeight="1">
      <c r="A10" s="5" t="s">
        <v>297</v>
      </c>
      <c r="B10" s="6"/>
      <c r="C10" s="6"/>
      <c r="D10" s="6"/>
      <c r="E10" s="6"/>
      <c r="F10" s="6"/>
      <c r="G10" s="6"/>
      <c r="H10" s="6"/>
      <c r="I10" s="6"/>
      <c r="J10" s="6"/>
      <c r="K10" s="6"/>
      <c r="L10" s="6"/>
      <c r="M10" s="6"/>
      <c r="N10" s="6"/>
    </row>
    <row r="11">
      <c r="A11" s="8" t="s">
        <v>298</v>
      </c>
      <c r="B11" s="28">
        <v>0.0</v>
      </c>
      <c r="C11" s="28">
        <f t="shared" ref="C11:M11" si="2">B15</f>
        <v>345</v>
      </c>
      <c r="D11" s="28">
        <f t="shared" si="2"/>
        <v>493</v>
      </c>
      <c r="E11" s="28">
        <f t="shared" si="2"/>
        <v>628</v>
      </c>
      <c r="F11" s="28">
        <f t="shared" si="2"/>
        <v>710</v>
      </c>
      <c r="G11" s="28">
        <f t="shared" si="2"/>
        <v>739</v>
      </c>
      <c r="H11" s="28">
        <f t="shared" si="2"/>
        <v>851</v>
      </c>
      <c r="I11" s="28">
        <f t="shared" si="2"/>
        <v>971</v>
      </c>
      <c r="J11" s="28">
        <f t="shared" si="2"/>
        <v>1045</v>
      </c>
      <c r="K11" s="28">
        <f t="shared" si="2"/>
        <v>1064</v>
      </c>
      <c r="L11" s="28">
        <f t="shared" si="2"/>
        <v>1135</v>
      </c>
      <c r="M11" s="28">
        <f t="shared" si="2"/>
        <v>1269</v>
      </c>
    </row>
    <row r="12">
      <c r="A12" s="8" t="s">
        <v>299</v>
      </c>
      <c r="B12" s="39">
        <f>CEILING(B7*INPUTS!$B$7,1)</f>
        <v>345</v>
      </c>
      <c r="C12" s="39">
        <f>CEILING(C7*INPUTS!$B$7,1)</f>
        <v>495</v>
      </c>
      <c r="D12" s="39">
        <f>CEILING(D7*INPUTS!$B$7,1)</f>
        <v>630</v>
      </c>
      <c r="E12" s="39">
        <f>CEILING(E7*INPUTS!$B$7,1)</f>
        <v>713</v>
      </c>
      <c r="F12" s="39">
        <f>CEILING(F7*INPUTS!$B$7,1)</f>
        <v>743</v>
      </c>
      <c r="G12" s="39">
        <f>CEILING(G7*INPUTS!$B$7,1)</f>
        <v>855</v>
      </c>
      <c r="H12" s="39">
        <f>CEILING(H7*INPUTS!$B$7,1)</f>
        <v>975</v>
      </c>
      <c r="I12" s="39">
        <f>CEILING(I7*INPUTS!$B$7,1)</f>
        <v>1050</v>
      </c>
      <c r="J12" s="39">
        <f>CEILING(J7*INPUTS!$B$7,1)</f>
        <v>1069</v>
      </c>
      <c r="K12" s="39">
        <f>CEILING(K7*INPUTS!$B$7,1)</f>
        <v>1140</v>
      </c>
      <c r="L12" s="39">
        <f>CEILING(L7*INPUTS!$B$7,1)</f>
        <v>1275</v>
      </c>
      <c r="M12" s="39">
        <f>CEILING(M7*INPUTS!$B$7,1)</f>
        <v>1350</v>
      </c>
    </row>
    <row r="13">
      <c r="A13" s="8" t="s">
        <v>300</v>
      </c>
      <c r="B13" s="28">
        <f t="shared" ref="B13:M13" si="3">MAX(B7+B12-B11,0)</f>
        <v>2645</v>
      </c>
      <c r="C13" s="28">
        <f t="shared" si="3"/>
        <v>3450</v>
      </c>
      <c r="D13" s="28">
        <f t="shared" si="3"/>
        <v>4337</v>
      </c>
      <c r="E13" s="28">
        <f t="shared" si="3"/>
        <v>4835</v>
      </c>
      <c r="F13" s="28">
        <f t="shared" si="3"/>
        <v>4983</v>
      </c>
      <c r="G13" s="28">
        <f t="shared" si="3"/>
        <v>5816</v>
      </c>
      <c r="H13" s="28">
        <f t="shared" si="3"/>
        <v>6624</v>
      </c>
      <c r="I13" s="28">
        <f t="shared" si="3"/>
        <v>7079</v>
      </c>
      <c r="J13" s="28">
        <f t="shared" si="3"/>
        <v>7149</v>
      </c>
      <c r="K13" s="28">
        <f t="shared" si="3"/>
        <v>7676</v>
      </c>
      <c r="L13" s="28">
        <f t="shared" si="3"/>
        <v>8640</v>
      </c>
      <c r="M13" s="28">
        <f t="shared" si="3"/>
        <v>9081</v>
      </c>
      <c r="N13" s="45">
        <f t="shared" ref="N13:N14" si="4">SUM(B13:M13)</f>
        <v>72315</v>
      </c>
    </row>
    <row r="14">
      <c r="A14" s="8" t="s">
        <v>301</v>
      </c>
      <c r="B14" s="39">
        <f>ROUND(B11*INPUTS!$B$11,0)</f>
        <v>0</v>
      </c>
      <c r="C14" s="39">
        <f>ROUND(C11*INPUTS!$B$11,0)</f>
        <v>2</v>
      </c>
      <c r="D14" s="39">
        <f>ROUND(D11*INPUTS!$B$11,0)</f>
        <v>2</v>
      </c>
      <c r="E14" s="39">
        <f>ROUND(E11*INPUTS!$B$11,0)</f>
        <v>3</v>
      </c>
      <c r="F14" s="39">
        <f>ROUND(F11*INPUTS!$B$11,0)</f>
        <v>4</v>
      </c>
      <c r="G14" s="39">
        <f>ROUND(G11*INPUTS!$B$11,0)</f>
        <v>4</v>
      </c>
      <c r="H14" s="39">
        <f>ROUND(H11*INPUTS!$B$11,0)</f>
        <v>4</v>
      </c>
      <c r="I14" s="39">
        <f>ROUND(I11*INPUTS!$B$11,0)</f>
        <v>5</v>
      </c>
      <c r="J14" s="39">
        <f>ROUND(J11*INPUTS!$B$11,0)</f>
        <v>5</v>
      </c>
      <c r="K14" s="39">
        <f>ROUND(K11*INPUTS!$B$11,0)</f>
        <v>5</v>
      </c>
      <c r="L14" s="39">
        <f>ROUND(L11*INPUTS!$B$11,0)</f>
        <v>6</v>
      </c>
      <c r="M14" s="39">
        <f>ROUND(M11*INPUTS!$B$11,0)</f>
        <v>6</v>
      </c>
      <c r="N14" s="45">
        <f t="shared" si="4"/>
        <v>46</v>
      </c>
    </row>
    <row r="15">
      <c r="A15" s="8" t="s">
        <v>302</v>
      </c>
      <c r="B15" s="28">
        <f t="shared" ref="B15:M15" si="5">B11+B13-B7-B14</f>
        <v>345</v>
      </c>
      <c r="C15" s="28">
        <f t="shared" si="5"/>
        <v>493</v>
      </c>
      <c r="D15" s="28">
        <f t="shared" si="5"/>
        <v>628</v>
      </c>
      <c r="E15" s="28">
        <f t="shared" si="5"/>
        <v>710</v>
      </c>
      <c r="F15" s="28">
        <f t="shared" si="5"/>
        <v>739</v>
      </c>
      <c r="G15" s="28">
        <f t="shared" si="5"/>
        <v>851</v>
      </c>
      <c r="H15" s="28">
        <f t="shared" si="5"/>
        <v>971</v>
      </c>
      <c r="I15" s="28">
        <f t="shared" si="5"/>
        <v>1045</v>
      </c>
      <c r="J15" s="28">
        <f t="shared" si="5"/>
        <v>1064</v>
      </c>
      <c r="K15" s="28">
        <f t="shared" si="5"/>
        <v>1135</v>
      </c>
      <c r="L15" s="28">
        <f t="shared" si="5"/>
        <v>1269</v>
      </c>
      <c r="M15" s="28">
        <f t="shared" si="5"/>
        <v>1344</v>
      </c>
    </row>
    <row r="16">
      <c r="A16" s="8" t="s">
        <v>303</v>
      </c>
      <c r="B16" s="32" t="str">
        <f>IF(AND(B13&gt;0,B13&lt;INPUTS!$B$142),"BELOW MOQ","")</f>
        <v>BELOW MOQ</v>
      </c>
      <c r="C16" s="32" t="str">
        <f>IF(AND(C13&gt;0,C13&lt;INPUTS!$B$142),"BELOW MOQ","")</f>
        <v>BELOW MOQ</v>
      </c>
      <c r="D16" s="32" t="str">
        <f>IF(AND(D13&gt;0,D13&lt;INPUTS!$B$142),"BELOW MOQ","")</f>
        <v>BELOW MOQ</v>
      </c>
      <c r="E16" s="32" t="str">
        <f>IF(AND(E13&gt;0,E13&lt;INPUTS!$B$142),"BELOW MOQ","")</f>
        <v>BELOW MOQ</v>
      </c>
      <c r="F16" s="32" t="str">
        <f>IF(AND(F13&gt;0,F13&lt;INPUTS!$B$142),"BELOW MOQ","")</f>
        <v>BELOW MOQ</v>
      </c>
      <c r="G16" s="32" t="str">
        <f>IF(AND(G13&gt;0,G13&lt;INPUTS!$B$142),"BELOW MOQ","")</f>
        <v/>
      </c>
      <c r="H16" s="32" t="str">
        <f>IF(AND(H13&gt;0,H13&lt;INPUTS!$B$142),"BELOW MOQ","")</f>
        <v/>
      </c>
      <c r="I16" s="32" t="str">
        <f>IF(AND(I13&gt;0,I13&lt;INPUTS!$B$142),"BELOW MOQ","")</f>
        <v/>
      </c>
      <c r="J16" s="32" t="str">
        <f>IF(AND(J13&gt;0,J13&lt;INPUTS!$B$142),"BELOW MOQ","")</f>
        <v/>
      </c>
      <c r="K16" s="32" t="str">
        <f>IF(AND(K13&gt;0,K13&lt;INPUTS!$B$142),"BELOW MOQ","")</f>
        <v/>
      </c>
      <c r="L16" s="32" t="str">
        <f>IF(AND(L13&gt;0,L13&lt;INPUTS!$B$142),"BELOW MOQ","")</f>
        <v/>
      </c>
      <c r="M16" s="32" t="str">
        <f>IF(AND(M13&gt;0,M13&lt;INPUTS!$B$142),"BELOW MOQ","")</f>
        <v/>
      </c>
    </row>
    <row r="18" ht="18.0" customHeight="1">
      <c r="A18" s="5" t="s">
        <v>304</v>
      </c>
      <c r="B18" s="6"/>
      <c r="C18" s="6"/>
      <c r="D18" s="6"/>
      <c r="E18" s="6"/>
      <c r="F18" s="6"/>
      <c r="G18" s="6"/>
      <c r="H18" s="6"/>
      <c r="I18" s="6"/>
      <c r="J18" s="6"/>
      <c r="K18" s="6"/>
      <c r="L18" s="6"/>
      <c r="M18" s="6"/>
      <c r="N18" s="6"/>
    </row>
    <row r="19">
      <c r="A19" s="8" t="s">
        <v>305</v>
      </c>
      <c r="B19" s="28">
        <v>0.0</v>
      </c>
      <c r="C19" s="28">
        <f t="shared" ref="C19:M19" si="6">B23</f>
        <v>192</v>
      </c>
      <c r="D19" s="28">
        <f t="shared" si="6"/>
        <v>319</v>
      </c>
      <c r="E19" s="28">
        <f t="shared" si="6"/>
        <v>472</v>
      </c>
      <c r="F19" s="28">
        <f t="shared" si="6"/>
        <v>674</v>
      </c>
      <c r="G19" s="28">
        <f t="shared" si="6"/>
        <v>824</v>
      </c>
      <c r="H19" s="28">
        <f t="shared" si="6"/>
        <v>988</v>
      </c>
      <c r="I19" s="28">
        <f t="shared" si="6"/>
        <v>1123</v>
      </c>
      <c r="J19" s="28">
        <f t="shared" si="6"/>
        <v>1168</v>
      </c>
      <c r="K19" s="28">
        <f t="shared" si="6"/>
        <v>1101</v>
      </c>
      <c r="L19" s="28">
        <f t="shared" si="6"/>
        <v>1011</v>
      </c>
      <c r="M19" s="28">
        <f t="shared" si="6"/>
        <v>1018</v>
      </c>
    </row>
    <row r="20">
      <c r="A20" s="8" t="s">
        <v>306</v>
      </c>
      <c r="B20" s="39">
        <f>CEILING(B8*INPUTS!$B$7,1)</f>
        <v>192</v>
      </c>
      <c r="C20" s="39">
        <f>CEILING(C8*INPUTS!$B$7,1)</f>
        <v>319</v>
      </c>
      <c r="D20" s="39">
        <f>CEILING(D8*INPUTS!$B$7,1)</f>
        <v>473</v>
      </c>
      <c r="E20" s="39">
        <f>CEILING(E8*INPUTS!$B$7,1)</f>
        <v>675</v>
      </c>
      <c r="F20" s="39">
        <f>CEILING(F8*INPUTS!$B$7,1)</f>
        <v>825</v>
      </c>
      <c r="G20" s="39">
        <f>CEILING(G8*INPUTS!$B$7,1)</f>
        <v>990</v>
      </c>
      <c r="H20" s="39">
        <f>CEILING(H8*INPUTS!$B$7,1)</f>
        <v>1125</v>
      </c>
      <c r="I20" s="39">
        <f>CEILING(I8*INPUTS!$B$7,1)</f>
        <v>1170</v>
      </c>
      <c r="J20" s="39">
        <f>CEILING(J8*INPUTS!$B$7,1)</f>
        <v>1103</v>
      </c>
      <c r="K20" s="39">
        <f>CEILING(K8*INPUTS!$B$7,1)</f>
        <v>1013</v>
      </c>
      <c r="L20" s="39">
        <f>CEILING(L8*INPUTS!$B$7,1)</f>
        <v>1020</v>
      </c>
      <c r="M20" s="39">
        <f>CEILING(M8*INPUTS!$B$7,1)</f>
        <v>1084</v>
      </c>
    </row>
    <row r="21" ht="15.75" customHeight="1">
      <c r="A21" s="8" t="s">
        <v>307</v>
      </c>
      <c r="B21" s="28">
        <f t="shared" ref="B21:M21" si="7">MAX(B8+B20-B19,0)</f>
        <v>1467</v>
      </c>
      <c r="C21" s="28">
        <f t="shared" si="7"/>
        <v>2252</v>
      </c>
      <c r="D21" s="28">
        <f t="shared" si="7"/>
        <v>3304</v>
      </c>
      <c r="E21" s="28">
        <f t="shared" si="7"/>
        <v>4703</v>
      </c>
      <c r="F21" s="28">
        <f t="shared" si="7"/>
        <v>5651</v>
      </c>
      <c r="G21" s="28">
        <f t="shared" si="7"/>
        <v>6766</v>
      </c>
      <c r="H21" s="28">
        <f t="shared" si="7"/>
        <v>7637</v>
      </c>
      <c r="I21" s="28">
        <f t="shared" si="7"/>
        <v>7847</v>
      </c>
      <c r="J21" s="28">
        <f t="shared" si="7"/>
        <v>7285</v>
      </c>
      <c r="K21" s="28">
        <f t="shared" si="7"/>
        <v>6662</v>
      </c>
      <c r="L21" s="28">
        <f t="shared" si="7"/>
        <v>6809</v>
      </c>
      <c r="M21" s="28">
        <f t="shared" si="7"/>
        <v>7291</v>
      </c>
      <c r="N21" s="45">
        <f t="shared" ref="N21:N22" si="8">SUM(B21:M21)</f>
        <v>67674</v>
      </c>
    </row>
    <row r="22" ht="15.75" customHeight="1">
      <c r="A22" s="8" t="s">
        <v>308</v>
      </c>
      <c r="B22" s="39">
        <f>ROUND(B19*INPUTS!$B$12,0)</f>
        <v>0</v>
      </c>
      <c r="C22" s="39">
        <f>ROUND(C19*INPUTS!$B$12,0)</f>
        <v>0</v>
      </c>
      <c r="D22" s="39">
        <f>ROUND(D19*INPUTS!$B$12,0)</f>
        <v>1</v>
      </c>
      <c r="E22" s="39">
        <f>ROUND(E19*INPUTS!$B$12,0)</f>
        <v>1</v>
      </c>
      <c r="F22" s="39">
        <f>ROUND(F19*INPUTS!$B$12,0)</f>
        <v>1</v>
      </c>
      <c r="G22" s="39">
        <f>ROUND(G19*INPUTS!$B$12,0)</f>
        <v>2</v>
      </c>
      <c r="H22" s="39">
        <f>ROUND(H19*INPUTS!$B$12,0)</f>
        <v>2</v>
      </c>
      <c r="I22" s="39">
        <f>ROUND(I19*INPUTS!$B$12,0)</f>
        <v>2</v>
      </c>
      <c r="J22" s="39">
        <f>ROUND(J19*INPUTS!$B$12,0)</f>
        <v>2</v>
      </c>
      <c r="K22" s="39">
        <f>ROUND(K19*INPUTS!$B$12,0)</f>
        <v>2</v>
      </c>
      <c r="L22" s="39">
        <f>ROUND(L19*INPUTS!$B$12,0)</f>
        <v>2</v>
      </c>
      <c r="M22" s="39">
        <f>ROUND(M19*INPUTS!$B$12,0)</f>
        <v>2</v>
      </c>
      <c r="N22" s="45">
        <f t="shared" si="8"/>
        <v>17</v>
      </c>
    </row>
    <row r="23" ht="15.75" customHeight="1">
      <c r="A23" s="8" t="s">
        <v>309</v>
      </c>
      <c r="B23" s="28">
        <f t="shared" ref="B23:M23" si="9">B19+B21-B8-B22</f>
        <v>192</v>
      </c>
      <c r="C23" s="28">
        <f t="shared" si="9"/>
        <v>319</v>
      </c>
      <c r="D23" s="28">
        <f t="shared" si="9"/>
        <v>472</v>
      </c>
      <c r="E23" s="28">
        <f t="shared" si="9"/>
        <v>674</v>
      </c>
      <c r="F23" s="28">
        <f t="shared" si="9"/>
        <v>824</v>
      </c>
      <c r="G23" s="28">
        <f t="shared" si="9"/>
        <v>988</v>
      </c>
      <c r="H23" s="28">
        <f t="shared" si="9"/>
        <v>1123</v>
      </c>
      <c r="I23" s="28">
        <f t="shared" si="9"/>
        <v>1168</v>
      </c>
      <c r="J23" s="28">
        <f t="shared" si="9"/>
        <v>1101</v>
      </c>
      <c r="K23" s="28">
        <f t="shared" si="9"/>
        <v>1011</v>
      </c>
      <c r="L23" s="28">
        <f t="shared" si="9"/>
        <v>1018</v>
      </c>
      <c r="M23" s="28">
        <f t="shared" si="9"/>
        <v>1082</v>
      </c>
    </row>
    <row r="24" ht="15.75" customHeight="1">
      <c r="A24" s="8" t="s">
        <v>310</v>
      </c>
      <c r="B24" s="32" t="str">
        <f>IF(AND(B21&gt;0,B21&lt;INPUTS!$B$143),"BELOW MOQ","")</f>
        <v>BELOW MOQ</v>
      </c>
      <c r="C24" s="32" t="str">
        <f>IF(AND(C21&gt;0,C21&lt;INPUTS!$B$143),"BELOW MOQ","")</f>
        <v>BELOW MOQ</v>
      </c>
      <c r="D24" s="32" t="str">
        <f>IF(AND(D21&gt;0,D21&lt;INPUTS!$B$143),"BELOW MOQ","")</f>
        <v>BELOW MOQ</v>
      </c>
      <c r="E24" s="32" t="str">
        <f>IF(AND(E21&gt;0,E21&lt;INPUTS!$B$143),"BELOW MOQ","")</f>
        <v>BELOW MOQ</v>
      </c>
      <c r="F24" s="32" t="str">
        <f>IF(AND(F21&gt;0,F21&lt;INPUTS!$B$143),"BELOW MOQ","")</f>
        <v>BELOW MOQ</v>
      </c>
      <c r="G24" s="32" t="str">
        <f>IF(AND(G21&gt;0,G21&lt;INPUTS!$B$143),"BELOW MOQ","")</f>
        <v>BELOW MOQ</v>
      </c>
      <c r="H24" s="32" t="str">
        <f>IF(AND(H21&gt;0,H21&lt;INPUTS!$B$143),"BELOW MOQ","")</f>
        <v>BELOW MOQ</v>
      </c>
      <c r="I24" s="32" t="str">
        <f>IF(AND(I21&gt;0,I21&lt;INPUTS!$B$143),"BELOW MOQ","")</f>
        <v>BELOW MOQ</v>
      </c>
      <c r="J24" s="32" t="str">
        <f>IF(AND(J21&gt;0,J21&lt;INPUTS!$B$143),"BELOW MOQ","")</f>
        <v>BELOW MOQ</v>
      </c>
      <c r="K24" s="32" t="str">
        <f>IF(AND(K21&gt;0,K21&lt;INPUTS!$B$143),"BELOW MOQ","")</f>
        <v>BELOW MOQ</v>
      </c>
      <c r="L24" s="32" t="str">
        <f>IF(AND(L21&gt;0,L21&lt;INPUTS!$B$143),"BELOW MOQ","")</f>
        <v>BELOW MOQ</v>
      </c>
      <c r="M24" s="32" t="str">
        <f>IF(AND(M21&gt;0,M21&lt;INPUTS!$B$143),"BELOW MOQ","")</f>
        <v>BELOW MOQ</v>
      </c>
    </row>
    <row r="25" ht="15.75" customHeight="1"/>
    <row r="26" ht="18.0" customHeight="1">
      <c r="A26" s="5" t="s">
        <v>311</v>
      </c>
      <c r="B26" s="6"/>
      <c r="C26" s="6"/>
      <c r="D26" s="6"/>
      <c r="E26" s="6"/>
      <c r="F26" s="6"/>
      <c r="G26" s="6"/>
      <c r="H26" s="6"/>
      <c r="I26" s="6"/>
      <c r="J26" s="6"/>
      <c r="K26" s="6"/>
      <c r="L26" s="6"/>
      <c r="M26" s="6"/>
      <c r="N26" s="6"/>
    </row>
    <row r="27" ht="15.75" customHeight="1">
      <c r="A27" s="36" t="s">
        <v>312</v>
      </c>
      <c r="B27" s="46" t="s">
        <v>313</v>
      </c>
      <c r="C27" s="32" t="str">
        <f>INPUTS!B41</f>
        <v>Yes</v>
      </c>
      <c r="D27" s="46" t="s">
        <v>314</v>
      </c>
      <c r="E27" s="39">
        <f>INPUTS!G41</f>
        <v>0</v>
      </c>
      <c r="F27" s="46" t="s">
        <v>315</v>
      </c>
      <c r="G27" s="39">
        <f>INPUTS!H41</f>
        <v>30000</v>
      </c>
    </row>
    <row r="28" ht="15.75" customHeight="1">
      <c r="A28" s="8" t="s">
        <v>316</v>
      </c>
      <c r="B28" s="28">
        <f>IF(AND(INPUTS!$B$41="Yes",B$5&gt;INPUTS!$G$41),IF(AND(INPUTS!$H$41&gt;0,(ROUND(B$7*INPUTS!$C$41/$B$3,0)+ROUND(B$8*INPUTS!$C$41/$B$3,0))&gt;INPUTS!$H$41),ROUND(ROUND(B$7*INPUTS!$C$41/$B$3,0)*INPUTS!$H$41/(ROUND(B$7*INPUTS!$C$41/$B$3,0)+ROUND(B$8*INPUTS!$C$41/$B$3,0)),0),ROUND(B$7*INPUTS!$C$41/$B$3,0)),0)</f>
        <v>920</v>
      </c>
      <c r="C28" s="28">
        <f>IF(AND(INPUTS!$B$41="Yes",C$5&gt;INPUTS!$G$41),IF(AND(INPUTS!$H$41&gt;0,(ROUND(C$7*INPUTS!$C$41/$B$3,0)+ROUND(C$8*INPUTS!$C$41/$B$3,0))&gt;INPUTS!$H$41),ROUND(ROUND(C$7*INPUTS!$C$41/$B$3,0)*INPUTS!$H$41/(ROUND(C$7*INPUTS!$C$41/$B$3,0)+ROUND(C$8*INPUTS!$C$41/$B$3,0)),0),ROUND(C$7*INPUTS!$C$41/$B$3,0)),0)</f>
        <v>1320</v>
      </c>
      <c r="D28" s="28">
        <f>IF(AND(INPUTS!$B$41="Yes",D$5&gt;INPUTS!$G$41),IF(AND(INPUTS!$H$41&gt;0,(ROUND(D$7*INPUTS!$C$41/$B$3,0)+ROUND(D$8*INPUTS!$C$41/$B$3,0))&gt;INPUTS!$H$41),ROUND(ROUND(D$7*INPUTS!$C$41/$B$3,0)*INPUTS!$H$41/(ROUND(D$7*INPUTS!$C$41/$B$3,0)+ROUND(D$8*INPUTS!$C$41/$B$3,0)),0),ROUND(D$7*INPUTS!$C$41/$B$3,0)),0)</f>
        <v>1680</v>
      </c>
      <c r="E28" s="28">
        <f>IF(AND(INPUTS!$B$41="Yes",E$5&gt;INPUTS!$G$41),IF(AND(INPUTS!$H$41&gt;0,(ROUND(E$7*INPUTS!$C$41/$B$3,0)+ROUND(E$8*INPUTS!$C$41/$B$3,0))&gt;INPUTS!$H$41),ROUND(ROUND(E$7*INPUTS!$C$41/$B$3,0)*INPUTS!$H$41/(ROUND(E$7*INPUTS!$C$41/$B$3,0)+ROUND(E$8*INPUTS!$C$41/$B$3,0)),0),ROUND(E$7*INPUTS!$C$41/$B$3,0)),0)</f>
        <v>1900</v>
      </c>
      <c r="F28" s="28">
        <f>IF(AND(INPUTS!$B$41="Yes",F$5&gt;INPUTS!$G$41),IF(AND(INPUTS!$H$41&gt;0,(ROUND(F$7*INPUTS!$C$41/$B$3,0)+ROUND(F$8*INPUTS!$C$41/$B$3,0))&gt;INPUTS!$H$41),ROUND(ROUND(F$7*INPUTS!$C$41/$B$3,0)*INPUTS!$H$41/(ROUND(F$7*INPUTS!$C$41/$B$3,0)+ROUND(F$8*INPUTS!$C$41/$B$3,0)),0),ROUND(F$7*INPUTS!$C$41/$B$3,0)),0)</f>
        <v>1980</v>
      </c>
      <c r="G28" s="28">
        <f>IF(AND(INPUTS!$B$41="Yes",G$5&gt;INPUTS!$G$41),IF(AND(INPUTS!$H$41&gt;0,(ROUND(G$7*INPUTS!$C$41/$B$3,0)+ROUND(G$8*INPUTS!$C$41/$B$3,0))&gt;INPUTS!$H$41),ROUND(ROUND(G$7*INPUTS!$C$41/$B$3,0)*INPUTS!$H$41/(ROUND(G$7*INPUTS!$C$41/$B$3,0)+ROUND(G$8*INPUTS!$C$41/$B$3,0)),0),ROUND(G$7*INPUTS!$C$41/$B$3,0)),0)</f>
        <v>2280</v>
      </c>
      <c r="H28" s="28">
        <f>IF(AND(INPUTS!$B$41="Yes",H$5&gt;INPUTS!$G$41),IF(AND(INPUTS!$H$41&gt;0,(ROUND(H$7*INPUTS!$C$41/$B$3,0)+ROUND(H$8*INPUTS!$C$41/$B$3,0))&gt;INPUTS!$H$41),ROUND(ROUND(H$7*INPUTS!$C$41/$B$3,0)*INPUTS!$H$41/(ROUND(H$7*INPUTS!$C$41/$B$3,0)+ROUND(H$8*INPUTS!$C$41/$B$3,0)),0),ROUND(H$7*INPUTS!$C$41/$B$3,0)),0)</f>
        <v>2600</v>
      </c>
      <c r="I28" s="28">
        <f>IF(AND(INPUTS!$B$41="Yes",I$5&gt;INPUTS!$G$41),IF(AND(INPUTS!$H$41&gt;0,(ROUND(I$7*INPUTS!$C$41/$B$3,0)+ROUND(I$8*INPUTS!$C$41/$B$3,0))&gt;INPUTS!$H$41),ROUND(ROUND(I$7*INPUTS!$C$41/$B$3,0)*INPUTS!$H$41/(ROUND(I$7*INPUTS!$C$41/$B$3,0)+ROUND(I$8*INPUTS!$C$41/$B$3,0)),0),ROUND(I$7*INPUTS!$C$41/$B$3,0)),0)</f>
        <v>2800</v>
      </c>
      <c r="J28" s="28">
        <f>IF(AND(INPUTS!$B$41="Yes",J$5&gt;INPUTS!$G$41),IF(AND(INPUTS!$H$41&gt;0,(ROUND(J$7*INPUTS!$C$41/$B$3,0)+ROUND(J$8*INPUTS!$C$41/$B$3,0))&gt;INPUTS!$H$41),ROUND(ROUND(J$7*INPUTS!$C$41/$B$3,0)*INPUTS!$H$41/(ROUND(J$7*INPUTS!$C$41/$B$3,0)+ROUND(J$8*INPUTS!$C$41/$B$3,0)),0),ROUND(J$7*INPUTS!$C$41/$B$3,0)),0)</f>
        <v>2850</v>
      </c>
      <c r="K28" s="28">
        <f>IF(AND(INPUTS!$B$41="Yes",K$5&gt;INPUTS!$G$41),IF(AND(INPUTS!$H$41&gt;0,(ROUND(K$7*INPUTS!$C$41/$B$3,0)+ROUND(K$8*INPUTS!$C$41/$B$3,0))&gt;INPUTS!$H$41),ROUND(ROUND(K$7*INPUTS!$C$41/$B$3,0)*INPUTS!$H$41/(ROUND(K$7*INPUTS!$C$41/$B$3,0)+ROUND(K$8*INPUTS!$C$41/$B$3,0)),0),ROUND(K$7*INPUTS!$C$41/$B$3,0)),0)</f>
        <v>3040</v>
      </c>
      <c r="L28" s="28">
        <f>IF(AND(INPUTS!$B$41="Yes",L$5&gt;INPUTS!$G$41),IF(AND(INPUTS!$H$41&gt;0,(ROUND(L$7*INPUTS!$C$41/$B$3,0)+ROUND(L$8*INPUTS!$C$41/$B$3,0))&gt;INPUTS!$H$41),ROUND(ROUND(L$7*INPUTS!$C$41/$B$3,0)*INPUTS!$H$41/(ROUND(L$7*INPUTS!$C$41/$B$3,0)+ROUND(L$8*INPUTS!$C$41/$B$3,0)),0),ROUND(L$7*INPUTS!$C$41/$B$3,0)),0)</f>
        <v>3400</v>
      </c>
      <c r="M28" s="28">
        <f>IF(AND(INPUTS!$B$41="Yes",M$5&gt;INPUTS!$G$41),IF(AND(INPUTS!$H$41&gt;0,(ROUND(M$7*INPUTS!$C$41/$B$3,0)+ROUND(M$8*INPUTS!$C$41/$B$3,0))&gt;INPUTS!$H$41),ROUND(ROUND(M$7*INPUTS!$C$41/$B$3,0)*INPUTS!$H$41/(ROUND(M$7*INPUTS!$C$41/$B$3,0)+ROUND(M$8*INPUTS!$C$41/$B$3,0)),0),ROUND(M$7*INPUTS!$C$41/$B$3,0)),0)</f>
        <v>3600</v>
      </c>
      <c r="N28" s="45">
        <f t="shared" ref="N28:N31" si="10">SUM(B28:M28)</f>
        <v>28370</v>
      </c>
    </row>
    <row r="29" ht="15.75" customHeight="1">
      <c r="A29" s="8" t="s">
        <v>317</v>
      </c>
      <c r="B29" s="28">
        <f>IF(AND(INPUTS!$B$41="Yes",B$5&gt;INPUTS!$G$41),IF(AND(INPUTS!$H$41&gt;0,(ROUND(B$7*INPUTS!$C$41/$B$3,0)+ROUND(B$8*INPUTS!$C$41/$B$3,0))&gt;INPUTS!$H$41),ROUND(ROUND(B$8*INPUTS!$C$41/$B$3,0)*INPUTS!$H$41/(ROUND(B$7*INPUTS!$C$41/$B$3,0)+ROUND(B$8*INPUTS!$C$41/$B$3,0)),0),ROUND(B$8*INPUTS!$C$41/$B$3,0)),0)</f>
        <v>510</v>
      </c>
      <c r="C29" s="28">
        <f>IF(AND(INPUTS!$B$41="Yes",C$5&gt;INPUTS!$G$41),IF(AND(INPUTS!$H$41&gt;0,(ROUND(C$7*INPUTS!$C$41/$B$3,0)+ROUND(C$8*INPUTS!$C$41/$B$3,0))&gt;INPUTS!$H$41),ROUND(ROUND(C$8*INPUTS!$C$41/$B$3,0)*INPUTS!$H$41/(ROUND(C$7*INPUTS!$C$41/$B$3,0)+ROUND(C$8*INPUTS!$C$41/$B$3,0)),0),ROUND(C$8*INPUTS!$C$41/$B$3,0)),0)</f>
        <v>850</v>
      </c>
      <c r="D29" s="28">
        <f>IF(AND(INPUTS!$B$41="Yes",D$5&gt;INPUTS!$G$41),IF(AND(INPUTS!$H$41&gt;0,(ROUND(D$7*INPUTS!$C$41/$B$3,0)+ROUND(D$8*INPUTS!$C$41/$B$3,0))&gt;INPUTS!$H$41),ROUND(ROUND(D$8*INPUTS!$C$41/$B$3,0)*INPUTS!$H$41/(ROUND(D$7*INPUTS!$C$41/$B$3,0)+ROUND(D$8*INPUTS!$C$41/$B$3,0)),0),ROUND(D$8*INPUTS!$C$41/$B$3,0)),0)</f>
        <v>1260</v>
      </c>
      <c r="E29" s="28">
        <f>IF(AND(INPUTS!$B$41="Yes",E$5&gt;INPUTS!$G$41),IF(AND(INPUTS!$H$41&gt;0,(ROUND(E$7*INPUTS!$C$41/$B$3,0)+ROUND(E$8*INPUTS!$C$41/$B$3,0))&gt;INPUTS!$H$41),ROUND(ROUND(E$8*INPUTS!$C$41/$B$3,0)*INPUTS!$H$41/(ROUND(E$7*INPUTS!$C$41/$B$3,0)+ROUND(E$8*INPUTS!$C$41/$B$3,0)),0),ROUND(E$8*INPUTS!$C$41/$B$3,0)),0)</f>
        <v>1800</v>
      </c>
      <c r="F29" s="28">
        <f>IF(AND(INPUTS!$B$41="Yes",F$5&gt;INPUTS!$G$41),IF(AND(INPUTS!$H$41&gt;0,(ROUND(F$7*INPUTS!$C$41/$B$3,0)+ROUND(F$8*INPUTS!$C$41/$B$3,0))&gt;INPUTS!$H$41),ROUND(ROUND(F$8*INPUTS!$C$41/$B$3,0)*INPUTS!$H$41/(ROUND(F$7*INPUTS!$C$41/$B$3,0)+ROUND(F$8*INPUTS!$C$41/$B$3,0)),0),ROUND(F$8*INPUTS!$C$41/$B$3,0)),0)</f>
        <v>2200</v>
      </c>
      <c r="G29" s="28">
        <f>IF(AND(INPUTS!$B$41="Yes",G$5&gt;INPUTS!$G$41),IF(AND(INPUTS!$H$41&gt;0,(ROUND(G$7*INPUTS!$C$41/$B$3,0)+ROUND(G$8*INPUTS!$C$41/$B$3,0))&gt;INPUTS!$H$41),ROUND(ROUND(G$8*INPUTS!$C$41/$B$3,0)*INPUTS!$H$41/(ROUND(G$7*INPUTS!$C$41/$B$3,0)+ROUND(G$8*INPUTS!$C$41/$B$3,0)),0),ROUND(G$8*INPUTS!$C$41/$B$3,0)),0)</f>
        <v>2640</v>
      </c>
      <c r="H29" s="28">
        <f>IF(AND(INPUTS!$B$41="Yes",H$5&gt;INPUTS!$G$41),IF(AND(INPUTS!$H$41&gt;0,(ROUND(H$7*INPUTS!$C$41/$B$3,0)+ROUND(H$8*INPUTS!$C$41/$B$3,0))&gt;INPUTS!$H$41),ROUND(ROUND(H$8*INPUTS!$C$41/$B$3,0)*INPUTS!$H$41/(ROUND(H$7*INPUTS!$C$41/$B$3,0)+ROUND(H$8*INPUTS!$C$41/$B$3,0)),0),ROUND(H$8*INPUTS!$C$41/$B$3,0)),0)</f>
        <v>3000</v>
      </c>
      <c r="I29" s="28">
        <f>IF(AND(INPUTS!$B$41="Yes",I$5&gt;INPUTS!$G$41),IF(AND(INPUTS!$H$41&gt;0,(ROUND(I$7*INPUTS!$C$41/$B$3,0)+ROUND(I$8*INPUTS!$C$41/$B$3,0))&gt;INPUTS!$H$41),ROUND(ROUND(I$8*INPUTS!$C$41/$B$3,0)*INPUTS!$H$41/(ROUND(I$7*INPUTS!$C$41/$B$3,0)+ROUND(I$8*INPUTS!$C$41/$B$3,0)),0),ROUND(I$8*INPUTS!$C$41/$B$3,0)),0)</f>
        <v>3120</v>
      </c>
      <c r="J29" s="28">
        <f>IF(AND(INPUTS!$B$41="Yes",J$5&gt;INPUTS!$G$41),IF(AND(INPUTS!$H$41&gt;0,(ROUND(J$7*INPUTS!$C$41/$B$3,0)+ROUND(J$8*INPUTS!$C$41/$B$3,0))&gt;INPUTS!$H$41),ROUND(ROUND(J$8*INPUTS!$C$41/$B$3,0)*INPUTS!$H$41/(ROUND(J$7*INPUTS!$C$41/$B$3,0)+ROUND(J$8*INPUTS!$C$41/$B$3,0)),0),ROUND(J$8*INPUTS!$C$41/$B$3,0)),0)</f>
        <v>2940</v>
      </c>
      <c r="K29" s="28">
        <f>IF(AND(INPUTS!$B$41="Yes",K$5&gt;INPUTS!$G$41),IF(AND(INPUTS!$H$41&gt;0,(ROUND(K$7*INPUTS!$C$41/$B$3,0)+ROUND(K$8*INPUTS!$C$41/$B$3,0))&gt;INPUTS!$H$41),ROUND(ROUND(K$8*INPUTS!$C$41/$B$3,0)*INPUTS!$H$41/(ROUND(K$7*INPUTS!$C$41/$B$3,0)+ROUND(K$8*INPUTS!$C$41/$B$3,0)),0),ROUND(K$8*INPUTS!$C$41/$B$3,0)),0)</f>
        <v>2700</v>
      </c>
      <c r="L29" s="28">
        <f>IF(AND(INPUTS!$B$41="Yes",L$5&gt;INPUTS!$G$41),IF(AND(INPUTS!$H$41&gt;0,(ROUND(L$7*INPUTS!$C$41/$B$3,0)+ROUND(L$8*INPUTS!$C$41/$B$3,0))&gt;INPUTS!$H$41),ROUND(ROUND(L$8*INPUTS!$C$41/$B$3,0)*INPUTS!$H$41/(ROUND(L$7*INPUTS!$C$41/$B$3,0)+ROUND(L$8*INPUTS!$C$41/$B$3,0)),0),ROUND(L$8*INPUTS!$C$41/$B$3,0)),0)</f>
        <v>2720</v>
      </c>
      <c r="M29" s="28">
        <f>IF(AND(INPUTS!$B$41="Yes",M$5&gt;INPUTS!$G$41),IF(AND(INPUTS!$H$41&gt;0,(ROUND(M$7*INPUTS!$C$41/$B$3,0)+ROUND(M$8*INPUTS!$C$41/$B$3,0))&gt;INPUTS!$H$41),ROUND(ROUND(M$8*INPUTS!$C$41/$B$3,0)*INPUTS!$H$41/(ROUND(M$7*INPUTS!$C$41/$B$3,0)+ROUND(M$8*INPUTS!$C$41/$B$3,0)),0),ROUND(M$8*INPUTS!$C$41/$B$3,0)),0)</f>
        <v>2890</v>
      </c>
      <c r="N29" s="45">
        <f t="shared" si="10"/>
        <v>26630</v>
      </c>
    </row>
    <row r="30" ht="15.75" customHeight="1">
      <c r="A30" s="8" t="s">
        <v>318</v>
      </c>
      <c r="B30" s="38">
        <f>B28*INPUTS!$D$41+B29*INPUTS!$E$41</f>
        <v>4367.5</v>
      </c>
      <c r="C30" s="38">
        <f>C28*INPUTS!$D$41+C29*INPUTS!$E$41</f>
        <v>6532.5</v>
      </c>
      <c r="D30" s="38">
        <f>D28*INPUTS!$D$41+D29*INPUTS!$E$41</f>
        <v>8715</v>
      </c>
      <c r="E30" s="38">
        <f>E28*INPUTS!$D$41+E29*INPUTS!$E$41</f>
        <v>10700</v>
      </c>
      <c r="F30" s="38">
        <f>F28*INPUTS!$D$41+F29*INPUTS!$E$41</f>
        <v>11880</v>
      </c>
      <c r="G30" s="38">
        <f>G28*INPUTS!$D$41+G29*INPUTS!$E$41</f>
        <v>13920</v>
      </c>
      <c r="H30" s="38">
        <f>H28*INPUTS!$D$41+H29*INPUTS!$E$41</f>
        <v>15850</v>
      </c>
      <c r="I30" s="38">
        <f>I28*INPUTS!$D$41+I29*INPUTS!$E$41</f>
        <v>16820</v>
      </c>
      <c r="J30" s="38">
        <f>J28*INPUTS!$D$41+J29*INPUTS!$E$41</f>
        <v>16590</v>
      </c>
      <c r="K30" s="38">
        <f>K28*INPUTS!$D$41+K29*INPUTS!$E$41</f>
        <v>16715</v>
      </c>
      <c r="L30" s="38">
        <f>L28*INPUTS!$D$41+L29*INPUTS!$E$41</f>
        <v>18020</v>
      </c>
      <c r="M30" s="38">
        <f>M28*INPUTS!$D$41+M29*INPUTS!$E$41</f>
        <v>19102.5</v>
      </c>
      <c r="N30" s="47">
        <f t="shared" si="10"/>
        <v>159212.5</v>
      </c>
    </row>
    <row r="31" ht="15.75" customHeight="1">
      <c r="A31" s="8" t="s">
        <v>319</v>
      </c>
      <c r="B31" s="38">
        <f>(B28+B29)*INPUTS!$F$41</f>
        <v>1215.5</v>
      </c>
      <c r="C31" s="38">
        <f>(C28+C29)*INPUTS!$F$41</f>
        <v>1844.5</v>
      </c>
      <c r="D31" s="38">
        <f>(D28+D29)*INPUTS!$F$41</f>
        <v>2499</v>
      </c>
      <c r="E31" s="38">
        <f>(E28+E29)*INPUTS!$F$41</f>
        <v>3145</v>
      </c>
      <c r="F31" s="38">
        <f>(F28+F29)*INPUTS!$F$41</f>
        <v>3553</v>
      </c>
      <c r="G31" s="38">
        <f>(G28+G29)*INPUTS!$F$41</f>
        <v>4182</v>
      </c>
      <c r="H31" s="38">
        <f>(H28+H29)*INPUTS!$F$41</f>
        <v>4760</v>
      </c>
      <c r="I31" s="38">
        <f>(I28+I29)*INPUTS!$F$41</f>
        <v>5032</v>
      </c>
      <c r="J31" s="38">
        <f>(J28+J29)*INPUTS!$F$41</f>
        <v>4921.5</v>
      </c>
      <c r="K31" s="38">
        <f>(K28+K29)*INPUTS!$F$41</f>
        <v>4879</v>
      </c>
      <c r="L31" s="38">
        <f>(L28+L29)*INPUTS!$F$41</f>
        <v>5202</v>
      </c>
      <c r="M31" s="38">
        <f>(M28+M29)*INPUTS!$F$41</f>
        <v>5516.5</v>
      </c>
      <c r="N31" s="47">
        <f t="shared" si="10"/>
        <v>46750</v>
      </c>
    </row>
    <row r="32" ht="15.75" customHeight="1"/>
    <row r="33" ht="15.75" customHeight="1">
      <c r="A33" s="36" t="s">
        <v>320</v>
      </c>
      <c r="B33" s="46" t="s">
        <v>313</v>
      </c>
      <c r="C33" s="32" t="str">
        <f>INPUTS!B42</f>
        <v>Yes</v>
      </c>
      <c r="D33" s="46" t="s">
        <v>314</v>
      </c>
      <c r="E33" s="39">
        <f>INPUTS!G42</f>
        <v>2</v>
      </c>
      <c r="F33" s="46" t="s">
        <v>315</v>
      </c>
      <c r="G33" s="39">
        <f>INPUTS!H42</f>
        <v>18000</v>
      </c>
    </row>
    <row r="34" ht="15.75" customHeight="1">
      <c r="A34" s="8" t="s">
        <v>316</v>
      </c>
      <c r="B34" s="28">
        <f>IF(AND(INPUTS!$B$42="Yes",B$5&gt;INPUTS!$G$42),IF(AND(INPUTS!$H$42&gt;0,(ROUND(B$7*INPUTS!$C$42/$B$3,0)+ROUND(B$8*INPUTS!$C$42/$B$3,0))&gt;INPUTS!$H$42),ROUND(ROUND(B$7*INPUTS!$C$42/$B$3,0)*INPUTS!$H$42/(ROUND(B$7*INPUTS!$C$42/$B$3,0)+ROUND(B$8*INPUTS!$C$42/$B$3,0)),0),ROUND(B$7*INPUTS!$C$42/$B$3,0)),0)</f>
        <v>0</v>
      </c>
      <c r="C34" s="28">
        <f>IF(AND(INPUTS!$B$42="Yes",C$5&gt;INPUTS!$G$42),IF(AND(INPUTS!$H$42&gt;0,(ROUND(C$7*INPUTS!$C$42/$B$3,0)+ROUND(C$8*INPUTS!$C$42/$B$3,0))&gt;INPUTS!$H$42),ROUND(ROUND(C$7*INPUTS!$C$42/$B$3,0)*INPUTS!$H$42/(ROUND(C$7*INPUTS!$C$42/$B$3,0)+ROUND(C$8*INPUTS!$C$42/$B$3,0)),0),ROUND(C$7*INPUTS!$C$42/$B$3,0)),0)</f>
        <v>0</v>
      </c>
      <c r="D34" s="28">
        <f>IF(AND(INPUTS!$B$42="Yes",D$5&gt;INPUTS!$G$42),IF(AND(INPUTS!$H$42&gt;0,(ROUND(D$7*INPUTS!$C$42/$B$3,0)+ROUND(D$8*INPUTS!$C$42/$B$3,0))&gt;INPUTS!$H$42),ROUND(ROUND(D$7*INPUTS!$C$42/$B$3,0)*INPUTS!$H$42/(ROUND(D$7*INPUTS!$C$42/$B$3,0)+ROUND(D$8*INPUTS!$C$42/$B$3,0)),0),ROUND(D$7*INPUTS!$C$42/$B$3,0)),0)</f>
        <v>840</v>
      </c>
      <c r="E34" s="28">
        <f>IF(AND(INPUTS!$B$42="Yes",E$5&gt;INPUTS!$G$42),IF(AND(INPUTS!$H$42&gt;0,(ROUND(E$7*INPUTS!$C$42/$B$3,0)+ROUND(E$8*INPUTS!$C$42/$B$3,0))&gt;INPUTS!$H$42),ROUND(ROUND(E$7*INPUTS!$C$42/$B$3,0)*INPUTS!$H$42/(ROUND(E$7*INPUTS!$C$42/$B$3,0)+ROUND(E$8*INPUTS!$C$42/$B$3,0)),0),ROUND(E$7*INPUTS!$C$42/$B$3,0)),0)</f>
        <v>950</v>
      </c>
      <c r="F34" s="28">
        <f>IF(AND(INPUTS!$B$42="Yes",F$5&gt;INPUTS!$G$42),IF(AND(INPUTS!$H$42&gt;0,(ROUND(F$7*INPUTS!$C$42/$B$3,0)+ROUND(F$8*INPUTS!$C$42/$B$3,0))&gt;INPUTS!$H$42),ROUND(ROUND(F$7*INPUTS!$C$42/$B$3,0)*INPUTS!$H$42/(ROUND(F$7*INPUTS!$C$42/$B$3,0)+ROUND(F$8*INPUTS!$C$42/$B$3,0)),0),ROUND(F$7*INPUTS!$C$42/$B$3,0)),0)</f>
        <v>990</v>
      </c>
      <c r="G34" s="28">
        <f>IF(AND(INPUTS!$B$42="Yes",G$5&gt;INPUTS!$G$42),IF(AND(INPUTS!$H$42&gt;0,(ROUND(G$7*INPUTS!$C$42/$B$3,0)+ROUND(G$8*INPUTS!$C$42/$B$3,0))&gt;INPUTS!$H$42),ROUND(ROUND(G$7*INPUTS!$C$42/$B$3,0)*INPUTS!$H$42/(ROUND(G$7*INPUTS!$C$42/$B$3,0)+ROUND(G$8*INPUTS!$C$42/$B$3,0)),0),ROUND(G$7*INPUTS!$C$42/$B$3,0)),0)</f>
        <v>1140</v>
      </c>
      <c r="H34" s="28">
        <f>IF(AND(INPUTS!$B$42="Yes",H$5&gt;INPUTS!$G$42),IF(AND(INPUTS!$H$42&gt;0,(ROUND(H$7*INPUTS!$C$42/$B$3,0)+ROUND(H$8*INPUTS!$C$42/$B$3,0))&gt;INPUTS!$H$42),ROUND(ROUND(H$7*INPUTS!$C$42/$B$3,0)*INPUTS!$H$42/(ROUND(H$7*INPUTS!$C$42/$B$3,0)+ROUND(H$8*INPUTS!$C$42/$B$3,0)),0),ROUND(H$7*INPUTS!$C$42/$B$3,0)),0)</f>
        <v>1300</v>
      </c>
      <c r="I34" s="28">
        <f>IF(AND(INPUTS!$B$42="Yes",I$5&gt;INPUTS!$G$42),IF(AND(INPUTS!$H$42&gt;0,(ROUND(I$7*INPUTS!$C$42/$B$3,0)+ROUND(I$8*INPUTS!$C$42/$B$3,0))&gt;INPUTS!$H$42),ROUND(ROUND(I$7*INPUTS!$C$42/$B$3,0)*INPUTS!$H$42/(ROUND(I$7*INPUTS!$C$42/$B$3,0)+ROUND(I$8*INPUTS!$C$42/$B$3,0)),0),ROUND(I$7*INPUTS!$C$42/$B$3,0)),0)</f>
        <v>1400</v>
      </c>
      <c r="J34" s="28">
        <f>IF(AND(INPUTS!$B$42="Yes",J$5&gt;INPUTS!$G$42),IF(AND(INPUTS!$H$42&gt;0,(ROUND(J$7*INPUTS!$C$42/$B$3,0)+ROUND(J$8*INPUTS!$C$42/$B$3,0))&gt;INPUTS!$H$42),ROUND(ROUND(J$7*INPUTS!$C$42/$B$3,0)*INPUTS!$H$42/(ROUND(J$7*INPUTS!$C$42/$B$3,0)+ROUND(J$8*INPUTS!$C$42/$B$3,0)),0),ROUND(J$7*INPUTS!$C$42/$B$3,0)),0)</f>
        <v>1425</v>
      </c>
      <c r="K34" s="28">
        <f>IF(AND(INPUTS!$B$42="Yes",K$5&gt;INPUTS!$G$42),IF(AND(INPUTS!$H$42&gt;0,(ROUND(K$7*INPUTS!$C$42/$B$3,0)+ROUND(K$8*INPUTS!$C$42/$B$3,0))&gt;INPUTS!$H$42),ROUND(ROUND(K$7*INPUTS!$C$42/$B$3,0)*INPUTS!$H$42/(ROUND(K$7*INPUTS!$C$42/$B$3,0)+ROUND(K$8*INPUTS!$C$42/$B$3,0)),0),ROUND(K$7*INPUTS!$C$42/$B$3,0)),0)</f>
        <v>1520</v>
      </c>
      <c r="L34" s="28">
        <f>IF(AND(INPUTS!$B$42="Yes",L$5&gt;INPUTS!$G$42),IF(AND(INPUTS!$H$42&gt;0,(ROUND(L$7*INPUTS!$C$42/$B$3,0)+ROUND(L$8*INPUTS!$C$42/$B$3,0))&gt;INPUTS!$H$42),ROUND(ROUND(L$7*INPUTS!$C$42/$B$3,0)*INPUTS!$H$42/(ROUND(L$7*INPUTS!$C$42/$B$3,0)+ROUND(L$8*INPUTS!$C$42/$B$3,0)),0),ROUND(L$7*INPUTS!$C$42/$B$3,0)),0)</f>
        <v>1700</v>
      </c>
      <c r="M34" s="28">
        <f>IF(AND(INPUTS!$B$42="Yes",M$5&gt;INPUTS!$G$42),IF(AND(INPUTS!$H$42&gt;0,(ROUND(M$7*INPUTS!$C$42/$B$3,0)+ROUND(M$8*INPUTS!$C$42/$B$3,0))&gt;INPUTS!$H$42),ROUND(ROUND(M$7*INPUTS!$C$42/$B$3,0)*INPUTS!$H$42/(ROUND(M$7*INPUTS!$C$42/$B$3,0)+ROUND(M$8*INPUTS!$C$42/$B$3,0)),0),ROUND(M$7*INPUTS!$C$42/$B$3,0)),0)</f>
        <v>1800</v>
      </c>
      <c r="N34" s="45">
        <f t="shared" ref="N34:N37" si="11">SUM(B34:M34)</f>
        <v>13065</v>
      </c>
    </row>
    <row r="35" ht="15.75" customHeight="1">
      <c r="A35" s="8" t="s">
        <v>317</v>
      </c>
      <c r="B35" s="28">
        <f>IF(AND(INPUTS!$B$42="Yes",B$5&gt;INPUTS!$G$42),IF(AND(INPUTS!$H$42&gt;0,(ROUND(B$7*INPUTS!$C$42/$B$3,0)+ROUND(B$8*INPUTS!$C$42/$B$3,0))&gt;INPUTS!$H$42),ROUND(ROUND(B$8*INPUTS!$C$42/$B$3,0)*INPUTS!$H$42/(ROUND(B$7*INPUTS!$C$42/$B$3,0)+ROUND(B$8*INPUTS!$C$42/$B$3,0)),0),ROUND(B$8*INPUTS!$C$42/$B$3,0)),0)</f>
        <v>0</v>
      </c>
      <c r="C35" s="28">
        <f>IF(AND(INPUTS!$B$42="Yes",C$5&gt;INPUTS!$G$42),IF(AND(INPUTS!$H$42&gt;0,(ROUND(C$7*INPUTS!$C$42/$B$3,0)+ROUND(C$8*INPUTS!$C$42/$B$3,0))&gt;INPUTS!$H$42),ROUND(ROUND(C$8*INPUTS!$C$42/$B$3,0)*INPUTS!$H$42/(ROUND(C$7*INPUTS!$C$42/$B$3,0)+ROUND(C$8*INPUTS!$C$42/$B$3,0)),0),ROUND(C$8*INPUTS!$C$42/$B$3,0)),0)</f>
        <v>0</v>
      </c>
      <c r="D35" s="28">
        <f>IF(AND(INPUTS!$B$42="Yes",D$5&gt;INPUTS!$G$42),IF(AND(INPUTS!$H$42&gt;0,(ROUND(D$7*INPUTS!$C$42/$B$3,0)+ROUND(D$8*INPUTS!$C$42/$B$3,0))&gt;INPUTS!$H$42),ROUND(ROUND(D$8*INPUTS!$C$42/$B$3,0)*INPUTS!$H$42/(ROUND(D$7*INPUTS!$C$42/$B$3,0)+ROUND(D$8*INPUTS!$C$42/$B$3,0)),0),ROUND(D$8*INPUTS!$C$42/$B$3,0)),0)</f>
        <v>630</v>
      </c>
      <c r="E35" s="28">
        <f>IF(AND(INPUTS!$B$42="Yes",E$5&gt;INPUTS!$G$42),IF(AND(INPUTS!$H$42&gt;0,(ROUND(E$7*INPUTS!$C$42/$B$3,0)+ROUND(E$8*INPUTS!$C$42/$B$3,0))&gt;INPUTS!$H$42),ROUND(ROUND(E$8*INPUTS!$C$42/$B$3,0)*INPUTS!$H$42/(ROUND(E$7*INPUTS!$C$42/$B$3,0)+ROUND(E$8*INPUTS!$C$42/$B$3,0)),0),ROUND(E$8*INPUTS!$C$42/$B$3,0)),0)</f>
        <v>900</v>
      </c>
      <c r="F35" s="28">
        <f>IF(AND(INPUTS!$B$42="Yes",F$5&gt;INPUTS!$G$42),IF(AND(INPUTS!$H$42&gt;0,(ROUND(F$7*INPUTS!$C$42/$B$3,0)+ROUND(F$8*INPUTS!$C$42/$B$3,0))&gt;INPUTS!$H$42),ROUND(ROUND(F$8*INPUTS!$C$42/$B$3,0)*INPUTS!$H$42/(ROUND(F$7*INPUTS!$C$42/$B$3,0)+ROUND(F$8*INPUTS!$C$42/$B$3,0)),0),ROUND(F$8*INPUTS!$C$42/$B$3,0)),0)</f>
        <v>1100</v>
      </c>
      <c r="G35" s="28">
        <f>IF(AND(INPUTS!$B$42="Yes",G$5&gt;INPUTS!$G$42),IF(AND(INPUTS!$H$42&gt;0,(ROUND(G$7*INPUTS!$C$42/$B$3,0)+ROUND(G$8*INPUTS!$C$42/$B$3,0))&gt;INPUTS!$H$42),ROUND(ROUND(G$8*INPUTS!$C$42/$B$3,0)*INPUTS!$H$42/(ROUND(G$7*INPUTS!$C$42/$B$3,0)+ROUND(G$8*INPUTS!$C$42/$B$3,0)),0),ROUND(G$8*INPUTS!$C$42/$B$3,0)),0)</f>
        <v>1320</v>
      </c>
      <c r="H35" s="28">
        <f>IF(AND(INPUTS!$B$42="Yes",H$5&gt;INPUTS!$G$42),IF(AND(INPUTS!$H$42&gt;0,(ROUND(H$7*INPUTS!$C$42/$B$3,0)+ROUND(H$8*INPUTS!$C$42/$B$3,0))&gt;INPUTS!$H$42),ROUND(ROUND(H$8*INPUTS!$C$42/$B$3,0)*INPUTS!$H$42/(ROUND(H$7*INPUTS!$C$42/$B$3,0)+ROUND(H$8*INPUTS!$C$42/$B$3,0)),0),ROUND(H$8*INPUTS!$C$42/$B$3,0)),0)</f>
        <v>1500</v>
      </c>
      <c r="I35" s="28">
        <f>IF(AND(INPUTS!$B$42="Yes",I$5&gt;INPUTS!$G$42),IF(AND(INPUTS!$H$42&gt;0,(ROUND(I$7*INPUTS!$C$42/$B$3,0)+ROUND(I$8*INPUTS!$C$42/$B$3,0))&gt;INPUTS!$H$42),ROUND(ROUND(I$8*INPUTS!$C$42/$B$3,0)*INPUTS!$H$42/(ROUND(I$7*INPUTS!$C$42/$B$3,0)+ROUND(I$8*INPUTS!$C$42/$B$3,0)),0),ROUND(I$8*INPUTS!$C$42/$B$3,0)),0)</f>
        <v>1560</v>
      </c>
      <c r="J35" s="28">
        <f>IF(AND(INPUTS!$B$42="Yes",J$5&gt;INPUTS!$G$42),IF(AND(INPUTS!$H$42&gt;0,(ROUND(J$7*INPUTS!$C$42/$B$3,0)+ROUND(J$8*INPUTS!$C$42/$B$3,0))&gt;INPUTS!$H$42),ROUND(ROUND(J$8*INPUTS!$C$42/$B$3,0)*INPUTS!$H$42/(ROUND(J$7*INPUTS!$C$42/$B$3,0)+ROUND(J$8*INPUTS!$C$42/$B$3,0)),0),ROUND(J$8*INPUTS!$C$42/$B$3,0)),0)</f>
        <v>1470</v>
      </c>
      <c r="K35" s="28">
        <f>IF(AND(INPUTS!$B$42="Yes",K$5&gt;INPUTS!$G$42),IF(AND(INPUTS!$H$42&gt;0,(ROUND(K$7*INPUTS!$C$42/$B$3,0)+ROUND(K$8*INPUTS!$C$42/$B$3,0))&gt;INPUTS!$H$42),ROUND(ROUND(K$8*INPUTS!$C$42/$B$3,0)*INPUTS!$H$42/(ROUND(K$7*INPUTS!$C$42/$B$3,0)+ROUND(K$8*INPUTS!$C$42/$B$3,0)),0),ROUND(K$8*INPUTS!$C$42/$B$3,0)),0)</f>
        <v>1350</v>
      </c>
      <c r="L35" s="28">
        <f>IF(AND(INPUTS!$B$42="Yes",L$5&gt;INPUTS!$G$42),IF(AND(INPUTS!$H$42&gt;0,(ROUND(L$7*INPUTS!$C$42/$B$3,0)+ROUND(L$8*INPUTS!$C$42/$B$3,0))&gt;INPUTS!$H$42),ROUND(ROUND(L$8*INPUTS!$C$42/$B$3,0)*INPUTS!$H$42/(ROUND(L$7*INPUTS!$C$42/$B$3,0)+ROUND(L$8*INPUTS!$C$42/$B$3,0)),0),ROUND(L$8*INPUTS!$C$42/$B$3,0)),0)</f>
        <v>1360</v>
      </c>
      <c r="M35" s="28">
        <f>IF(AND(INPUTS!$B$42="Yes",M$5&gt;INPUTS!$G$42),IF(AND(INPUTS!$H$42&gt;0,(ROUND(M$7*INPUTS!$C$42/$B$3,0)+ROUND(M$8*INPUTS!$C$42/$B$3,0))&gt;INPUTS!$H$42),ROUND(ROUND(M$8*INPUTS!$C$42/$B$3,0)*INPUTS!$H$42/(ROUND(M$7*INPUTS!$C$42/$B$3,0)+ROUND(M$8*INPUTS!$C$42/$B$3,0)),0),ROUND(M$8*INPUTS!$C$42/$B$3,0)),0)</f>
        <v>1445</v>
      </c>
      <c r="N35" s="45">
        <f t="shared" si="11"/>
        <v>12635</v>
      </c>
    </row>
    <row r="36" ht="15.75" customHeight="1">
      <c r="A36" s="8" t="s">
        <v>318</v>
      </c>
      <c r="B36" s="38">
        <f>B34*INPUTS!$D$42+B35*INPUTS!$E$42</f>
        <v>0</v>
      </c>
      <c r="C36" s="38">
        <f>C34*INPUTS!$D$42+C35*INPUTS!$E$42</f>
        <v>0</v>
      </c>
      <c r="D36" s="38">
        <f>D34*INPUTS!$D$42+D35*INPUTS!$E$42</f>
        <v>3486</v>
      </c>
      <c r="E36" s="38">
        <f>E34*INPUTS!$D$42+E35*INPUTS!$E$42</f>
        <v>4280</v>
      </c>
      <c r="F36" s="38">
        <f>F34*INPUTS!$D$42+F35*INPUTS!$E$42</f>
        <v>4752</v>
      </c>
      <c r="G36" s="38">
        <f>G34*INPUTS!$D$42+G35*INPUTS!$E$42</f>
        <v>5568</v>
      </c>
      <c r="H36" s="38">
        <f>H34*INPUTS!$D$42+H35*INPUTS!$E$42</f>
        <v>6340</v>
      </c>
      <c r="I36" s="38">
        <f>I34*INPUTS!$D$42+I35*INPUTS!$E$42</f>
        <v>6728</v>
      </c>
      <c r="J36" s="38">
        <f>J34*INPUTS!$D$42+J35*INPUTS!$E$42</f>
        <v>6636</v>
      </c>
      <c r="K36" s="38">
        <f>K34*INPUTS!$D$42+K35*INPUTS!$E$42</f>
        <v>6686</v>
      </c>
      <c r="L36" s="38">
        <f>L34*INPUTS!$D$42+L35*INPUTS!$E$42</f>
        <v>7208</v>
      </c>
      <c r="M36" s="38">
        <f>M34*INPUTS!$D$42+M35*INPUTS!$E$42</f>
        <v>7641</v>
      </c>
      <c r="N36" s="47">
        <f t="shared" si="11"/>
        <v>59325</v>
      </c>
    </row>
    <row r="37" ht="15.75" customHeight="1">
      <c r="A37" s="8" t="s">
        <v>319</v>
      </c>
      <c r="B37" s="38">
        <f>(B34+B35)*INPUTS!$F$42</f>
        <v>0</v>
      </c>
      <c r="C37" s="38">
        <f>(C34+C35)*INPUTS!$F$42</f>
        <v>0</v>
      </c>
      <c r="D37" s="38">
        <f>(D34+D35)*INPUTS!$F$42</f>
        <v>808.5</v>
      </c>
      <c r="E37" s="38">
        <f>(E34+E35)*INPUTS!$F$42</f>
        <v>1017.5</v>
      </c>
      <c r="F37" s="38">
        <f>(F34+F35)*INPUTS!$F$42</f>
        <v>1149.5</v>
      </c>
      <c r="G37" s="38">
        <f>(G34+G35)*INPUTS!$F$42</f>
        <v>1353</v>
      </c>
      <c r="H37" s="38">
        <f>(H34+H35)*INPUTS!$F$42</f>
        <v>1540</v>
      </c>
      <c r="I37" s="38">
        <f>(I34+I35)*INPUTS!$F$42</f>
        <v>1628</v>
      </c>
      <c r="J37" s="38">
        <f>(J34+J35)*INPUTS!$F$42</f>
        <v>1592.25</v>
      </c>
      <c r="K37" s="38">
        <f>(K34+K35)*INPUTS!$F$42</f>
        <v>1578.5</v>
      </c>
      <c r="L37" s="38">
        <f>(L34+L35)*INPUTS!$F$42</f>
        <v>1683</v>
      </c>
      <c r="M37" s="38">
        <f>(M34+M35)*INPUTS!$F$42</f>
        <v>1784.75</v>
      </c>
      <c r="N37" s="47">
        <f t="shared" si="11"/>
        <v>14135</v>
      </c>
    </row>
    <row r="38" ht="15.75" customHeight="1"/>
    <row r="39" ht="15.75" customHeight="1">
      <c r="A39" s="36" t="s">
        <v>321</v>
      </c>
      <c r="B39" s="46" t="s">
        <v>313</v>
      </c>
      <c r="C39" s="32" t="str">
        <f>INPUTS!B43</f>
        <v>No</v>
      </c>
      <c r="D39" s="46" t="s">
        <v>314</v>
      </c>
      <c r="E39" s="39">
        <f>INPUTS!G43</f>
        <v>24</v>
      </c>
      <c r="F39" s="46" t="s">
        <v>315</v>
      </c>
      <c r="G39" s="39">
        <f>INPUTS!H43</f>
        <v>40000</v>
      </c>
    </row>
    <row r="40" ht="15.75" customHeight="1">
      <c r="A40" s="8" t="s">
        <v>316</v>
      </c>
      <c r="B40" s="28">
        <f>IF(AND(INPUTS!$B$43="Yes",B$5&gt;INPUTS!$G$43),IF(AND(INPUTS!$H$43&gt;0,(ROUND(B$7*INPUTS!$C$43/$B$3,0)+ROUND(B$8*INPUTS!$C$43/$B$3,0))&gt;INPUTS!$H$43),ROUND(ROUND(B$7*INPUTS!$C$43/$B$3,0)*INPUTS!$H$43/(ROUND(B$7*INPUTS!$C$43/$B$3,0)+ROUND(B$8*INPUTS!$C$43/$B$3,0)),0),ROUND(B$7*INPUTS!$C$43/$B$3,0)),0)</f>
        <v>0</v>
      </c>
      <c r="C40" s="28">
        <f>IF(AND(INPUTS!$B$43="Yes",C$5&gt;INPUTS!$G$43),IF(AND(INPUTS!$H$43&gt;0,(ROUND(C$7*INPUTS!$C$43/$B$3,0)+ROUND(C$8*INPUTS!$C$43/$B$3,0))&gt;INPUTS!$H$43),ROUND(ROUND(C$7*INPUTS!$C$43/$B$3,0)*INPUTS!$H$43/(ROUND(C$7*INPUTS!$C$43/$B$3,0)+ROUND(C$8*INPUTS!$C$43/$B$3,0)),0),ROUND(C$7*INPUTS!$C$43/$B$3,0)),0)</f>
        <v>0</v>
      </c>
      <c r="D40" s="28">
        <f>IF(AND(INPUTS!$B$43="Yes",D$5&gt;INPUTS!$G$43),IF(AND(INPUTS!$H$43&gt;0,(ROUND(D$7*INPUTS!$C$43/$B$3,0)+ROUND(D$8*INPUTS!$C$43/$B$3,0))&gt;INPUTS!$H$43),ROUND(ROUND(D$7*INPUTS!$C$43/$B$3,0)*INPUTS!$H$43/(ROUND(D$7*INPUTS!$C$43/$B$3,0)+ROUND(D$8*INPUTS!$C$43/$B$3,0)),0),ROUND(D$7*INPUTS!$C$43/$B$3,0)),0)</f>
        <v>0</v>
      </c>
      <c r="E40" s="28">
        <f>IF(AND(INPUTS!$B$43="Yes",E$5&gt;INPUTS!$G$43),IF(AND(INPUTS!$H$43&gt;0,(ROUND(E$7*INPUTS!$C$43/$B$3,0)+ROUND(E$8*INPUTS!$C$43/$B$3,0))&gt;INPUTS!$H$43),ROUND(ROUND(E$7*INPUTS!$C$43/$B$3,0)*INPUTS!$H$43/(ROUND(E$7*INPUTS!$C$43/$B$3,0)+ROUND(E$8*INPUTS!$C$43/$B$3,0)),0),ROUND(E$7*INPUTS!$C$43/$B$3,0)),0)</f>
        <v>0</v>
      </c>
      <c r="F40" s="28">
        <f>IF(AND(INPUTS!$B$43="Yes",F$5&gt;INPUTS!$G$43),IF(AND(INPUTS!$H$43&gt;0,(ROUND(F$7*INPUTS!$C$43/$B$3,0)+ROUND(F$8*INPUTS!$C$43/$B$3,0))&gt;INPUTS!$H$43),ROUND(ROUND(F$7*INPUTS!$C$43/$B$3,0)*INPUTS!$H$43/(ROUND(F$7*INPUTS!$C$43/$B$3,0)+ROUND(F$8*INPUTS!$C$43/$B$3,0)),0),ROUND(F$7*INPUTS!$C$43/$B$3,0)),0)</f>
        <v>0</v>
      </c>
      <c r="G40" s="28">
        <f>IF(AND(INPUTS!$B$43="Yes",G$5&gt;INPUTS!$G$43),IF(AND(INPUTS!$H$43&gt;0,(ROUND(G$7*INPUTS!$C$43/$B$3,0)+ROUND(G$8*INPUTS!$C$43/$B$3,0))&gt;INPUTS!$H$43),ROUND(ROUND(G$7*INPUTS!$C$43/$B$3,0)*INPUTS!$H$43/(ROUND(G$7*INPUTS!$C$43/$B$3,0)+ROUND(G$8*INPUTS!$C$43/$B$3,0)),0),ROUND(G$7*INPUTS!$C$43/$B$3,0)),0)</f>
        <v>0</v>
      </c>
      <c r="H40" s="28">
        <f>IF(AND(INPUTS!$B$43="Yes",H$5&gt;INPUTS!$G$43),IF(AND(INPUTS!$H$43&gt;0,(ROUND(H$7*INPUTS!$C$43/$B$3,0)+ROUND(H$8*INPUTS!$C$43/$B$3,0))&gt;INPUTS!$H$43),ROUND(ROUND(H$7*INPUTS!$C$43/$B$3,0)*INPUTS!$H$43/(ROUND(H$7*INPUTS!$C$43/$B$3,0)+ROUND(H$8*INPUTS!$C$43/$B$3,0)),0),ROUND(H$7*INPUTS!$C$43/$B$3,0)),0)</f>
        <v>0</v>
      </c>
      <c r="I40" s="28">
        <f>IF(AND(INPUTS!$B$43="Yes",I$5&gt;INPUTS!$G$43),IF(AND(INPUTS!$H$43&gt;0,(ROUND(I$7*INPUTS!$C$43/$B$3,0)+ROUND(I$8*INPUTS!$C$43/$B$3,0))&gt;INPUTS!$H$43),ROUND(ROUND(I$7*INPUTS!$C$43/$B$3,0)*INPUTS!$H$43/(ROUND(I$7*INPUTS!$C$43/$B$3,0)+ROUND(I$8*INPUTS!$C$43/$B$3,0)),0),ROUND(I$7*INPUTS!$C$43/$B$3,0)),0)</f>
        <v>0</v>
      </c>
      <c r="J40" s="28">
        <f>IF(AND(INPUTS!$B$43="Yes",J$5&gt;INPUTS!$G$43),IF(AND(INPUTS!$H$43&gt;0,(ROUND(J$7*INPUTS!$C$43/$B$3,0)+ROUND(J$8*INPUTS!$C$43/$B$3,0))&gt;INPUTS!$H$43),ROUND(ROUND(J$7*INPUTS!$C$43/$B$3,0)*INPUTS!$H$43/(ROUND(J$7*INPUTS!$C$43/$B$3,0)+ROUND(J$8*INPUTS!$C$43/$B$3,0)),0),ROUND(J$7*INPUTS!$C$43/$B$3,0)),0)</f>
        <v>0</v>
      </c>
      <c r="K40" s="28">
        <f>IF(AND(INPUTS!$B$43="Yes",K$5&gt;INPUTS!$G$43),IF(AND(INPUTS!$H$43&gt;0,(ROUND(K$7*INPUTS!$C$43/$B$3,0)+ROUND(K$8*INPUTS!$C$43/$B$3,0))&gt;INPUTS!$H$43),ROUND(ROUND(K$7*INPUTS!$C$43/$B$3,0)*INPUTS!$H$43/(ROUND(K$7*INPUTS!$C$43/$B$3,0)+ROUND(K$8*INPUTS!$C$43/$B$3,0)),0),ROUND(K$7*INPUTS!$C$43/$B$3,0)),0)</f>
        <v>0</v>
      </c>
      <c r="L40" s="28">
        <f>IF(AND(INPUTS!$B$43="Yes",L$5&gt;INPUTS!$G$43),IF(AND(INPUTS!$H$43&gt;0,(ROUND(L$7*INPUTS!$C$43/$B$3,0)+ROUND(L$8*INPUTS!$C$43/$B$3,0))&gt;INPUTS!$H$43),ROUND(ROUND(L$7*INPUTS!$C$43/$B$3,0)*INPUTS!$H$43/(ROUND(L$7*INPUTS!$C$43/$B$3,0)+ROUND(L$8*INPUTS!$C$43/$B$3,0)),0),ROUND(L$7*INPUTS!$C$43/$B$3,0)),0)</f>
        <v>0</v>
      </c>
      <c r="M40" s="28">
        <f>IF(AND(INPUTS!$B$43="Yes",M$5&gt;INPUTS!$G$43),IF(AND(INPUTS!$H$43&gt;0,(ROUND(M$7*INPUTS!$C$43/$B$3,0)+ROUND(M$8*INPUTS!$C$43/$B$3,0))&gt;INPUTS!$H$43),ROUND(ROUND(M$7*INPUTS!$C$43/$B$3,0)*INPUTS!$H$43/(ROUND(M$7*INPUTS!$C$43/$B$3,0)+ROUND(M$8*INPUTS!$C$43/$B$3,0)),0),ROUND(M$7*INPUTS!$C$43/$B$3,0)),0)</f>
        <v>0</v>
      </c>
      <c r="N40" s="45">
        <f t="shared" ref="N40:N43" si="12">SUM(B40:M40)</f>
        <v>0</v>
      </c>
    </row>
    <row r="41" ht="15.75" customHeight="1">
      <c r="A41" s="8" t="s">
        <v>317</v>
      </c>
      <c r="B41" s="28">
        <f>IF(AND(INPUTS!$B$43="Yes",B$5&gt;INPUTS!$G$43),IF(AND(INPUTS!$H$43&gt;0,(ROUND(B$7*INPUTS!$C$43/$B$3,0)+ROUND(B$8*INPUTS!$C$43/$B$3,0))&gt;INPUTS!$H$43),ROUND(ROUND(B$8*INPUTS!$C$43/$B$3,0)*INPUTS!$H$43/(ROUND(B$7*INPUTS!$C$43/$B$3,0)+ROUND(B$8*INPUTS!$C$43/$B$3,0)),0),ROUND(B$8*INPUTS!$C$43/$B$3,0)),0)</f>
        <v>0</v>
      </c>
      <c r="C41" s="28">
        <f>IF(AND(INPUTS!$B$43="Yes",C$5&gt;INPUTS!$G$43),IF(AND(INPUTS!$H$43&gt;0,(ROUND(C$7*INPUTS!$C$43/$B$3,0)+ROUND(C$8*INPUTS!$C$43/$B$3,0))&gt;INPUTS!$H$43),ROUND(ROUND(C$8*INPUTS!$C$43/$B$3,0)*INPUTS!$H$43/(ROUND(C$7*INPUTS!$C$43/$B$3,0)+ROUND(C$8*INPUTS!$C$43/$B$3,0)),0),ROUND(C$8*INPUTS!$C$43/$B$3,0)),0)</f>
        <v>0</v>
      </c>
      <c r="D41" s="28">
        <f>IF(AND(INPUTS!$B$43="Yes",D$5&gt;INPUTS!$G$43),IF(AND(INPUTS!$H$43&gt;0,(ROUND(D$7*INPUTS!$C$43/$B$3,0)+ROUND(D$8*INPUTS!$C$43/$B$3,0))&gt;INPUTS!$H$43),ROUND(ROUND(D$8*INPUTS!$C$43/$B$3,0)*INPUTS!$H$43/(ROUND(D$7*INPUTS!$C$43/$B$3,0)+ROUND(D$8*INPUTS!$C$43/$B$3,0)),0),ROUND(D$8*INPUTS!$C$43/$B$3,0)),0)</f>
        <v>0</v>
      </c>
      <c r="E41" s="28">
        <f>IF(AND(INPUTS!$B$43="Yes",E$5&gt;INPUTS!$G$43),IF(AND(INPUTS!$H$43&gt;0,(ROUND(E$7*INPUTS!$C$43/$B$3,0)+ROUND(E$8*INPUTS!$C$43/$B$3,0))&gt;INPUTS!$H$43),ROUND(ROUND(E$8*INPUTS!$C$43/$B$3,0)*INPUTS!$H$43/(ROUND(E$7*INPUTS!$C$43/$B$3,0)+ROUND(E$8*INPUTS!$C$43/$B$3,0)),0),ROUND(E$8*INPUTS!$C$43/$B$3,0)),0)</f>
        <v>0</v>
      </c>
      <c r="F41" s="28">
        <f>IF(AND(INPUTS!$B$43="Yes",F$5&gt;INPUTS!$G$43),IF(AND(INPUTS!$H$43&gt;0,(ROUND(F$7*INPUTS!$C$43/$B$3,0)+ROUND(F$8*INPUTS!$C$43/$B$3,0))&gt;INPUTS!$H$43),ROUND(ROUND(F$8*INPUTS!$C$43/$B$3,0)*INPUTS!$H$43/(ROUND(F$7*INPUTS!$C$43/$B$3,0)+ROUND(F$8*INPUTS!$C$43/$B$3,0)),0),ROUND(F$8*INPUTS!$C$43/$B$3,0)),0)</f>
        <v>0</v>
      </c>
      <c r="G41" s="28">
        <f>IF(AND(INPUTS!$B$43="Yes",G$5&gt;INPUTS!$G$43),IF(AND(INPUTS!$H$43&gt;0,(ROUND(G$7*INPUTS!$C$43/$B$3,0)+ROUND(G$8*INPUTS!$C$43/$B$3,0))&gt;INPUTS!$H$43),ROUND(ROUND(G$8*INPUTS!$C$43/$B$3,0)*INPUTS!$H$43/(ROUND(G$7*INPUTS!$C$43/$B$3,0)+ROUND(G$8*INPUTS!$C$43/$B$3,0)),0),ROUND(G$8*INPUTS!$C$43/$B$3,0)),0)</f>
        <v>0</v>
      </c>
      <c r="H41" s="28">
        <f>IF(AND(INPUTS!$B$43="Yes",H$5&gt;INPUTS!$G$43),IF(AND(INPUTS!$H$43&gt;0,(ROUND(H$7*INPUTS!$C$43/$B$3,0)+ROUND(H$8*INPUTS!$C$43/$B$3,0))&gt;INPUTS!$H$43),ROUND(ROUND(H$8*INPUTS!$C$43/$B$3,0)*INPUTS!$H$43/(ROUND(H$7*INPUTS!$C$43/$B$3,0)+ROUND(H$8*INPUTS!$C$43/$B$3,0)),0),ROUND(H$8*INPUTS!$C$43/$B$3,0)),0)</f>
        <v>0</v>
      </c>
      <c r="I41" s="28">
        <f>IF(AND(INPUTS!$B$43="Yes",I$5&gt;INPUTS!$G$43),IF(AND(INPUTS!$H$43&gt;0,(ROUND(I$7*INPUTS!$C$43/$B$3,0)+ROUND(I$8*INPUTS!$C$43/$B$3,0))&gt;INPUTS!$H$43),ROUND(ROUND(I$8*INPUTS!$C$43/$B$3,0)*INPUTS!$H$43/(ROUND(I$7*INPUTS!$C$43/$B$3,0)+ROUND(I$8*INPUTS!$C$43/$B$3,0)),0),ROUND(I$8*INPUTS!$C$43/$B$3,0)),0)</f>
        <v>0</v>
      </c>
      <c r="J41" s="28">
        <f>IF(AND(INPUTS!$B$43="Yes",J$5&gt;INPUTS!$G$43),IF(AND(INPUTS!$H$43&gt;0,(ROUND(J$7*INPUTS!$C$43/$B$3,0)+ROUND(J$8*INPUTS!$C$43/$B$3,0))&gt;INPUTS!$H$43),ROUND(ROUND(J$8*INPUTS!$C$43/$B$3,0)*INPUTS!$H$43/(ROUND(J$7*INPUTS!$C$43/$B$3,0)+ROUND(J$8*INPUTS!$C$43/$B$3,0)),0),ROUND(J$8*INPUTS!$C$43/$B$3,0)),0)</f>
        <v>0</v>
      </c>
      <c r="K41" s="28">
        <f>IF(AND(INPUTS!$B$43="Yes",K$5&gt;INPUTS!$G$43),IF(AND(INPUTS!$H$43&gt;0,(ROUND(K$7*INPUTS!$C$43/$B$3,0)+ROUND(K$8*INPUTS!$C$43/$B$3,0))&gt;INPUTS!$H$43),ROUND(ROUND(K$8*INPUTS!$C$43/$B$3,0)*INPUTS!$H$43/(ROUND(K$7*INPUTS!$C$43/$B$3,0)+ROUND(K$8*INPUTS!$C$43/$B$3,0)),0),ROUND(K$8*INPUTS!$C$43/$B$3,0)),0)</f>
        <v>0</v>
      </c>
      <c r="L41" s="28">
        <f>IF(AND(INPUTS!$B$43="Yes",L$5&gt;INPUTS!$G$43),IF(AND(INPUTS!$H$43&gt;0,(ROUND(L$7*INPUTS!$C$43/$B$3,0)+ROUND(L$8*INPUTS!$C$43/$B$3,0))&gt;INPUTS!$H$43),ROUND(ROUND(L$8*INPUTS!$C$43/$B$3,0)*INPUTS!$H$43/(ROUND(L$7*INPUTS!$C$43/$B$3,0)+ROUND(L$8*INPUTS!$C$43/$B$3,0)),0),ROUND(L$8*INPUTS!$C$43/$B$3,0)),0)</f>
        <v>0</v>
      </c>
      <c r="M41" s="28">
        <f>IF(AND(INPUTS!$B$43="Yes",M$5&gt;INPUTS!$G$43),IF(AND(INPUTS!$H$43&gt;0,(ROUND(M$7*INPUTS!$C$43/$B$3,0)+ROUND(M$8*INPUTS!$C$43/$B$3,0))&gt;INPUTS!$H$43),ROUND(ROUND(M$8*INPUTS!$C$43/$B$3,0)*INPUTS!$H$43/(ROUND(M$7*INPUTS!$C$43/$B$3,0)+ROUND(M$8*INPUTS!$C$43/$B$3,0)),0),ROUND(M$8*INPUTS!$C$43/$B$3,0)),0)</f>
        <v>0</v>
      </c>
      <c r="N41" s="45">
        <f t="shared" si="12"/>
        <v>0</v>
      </c>
    </row>
    <row r="42" ht="15.75" customHeight="1">
      <c r="A42" s="8" t="s">
        <v>318</v>
      </c>
      <c r="B42" s="38">
        <f>B40*INPUTS!$D$43+B41*INPUTS!$E$43</f>
        <v>0</v>
      </c>
      <c r="C42" s="38">
        <f>C40*INPUTS!$D$43+C41*INPUTS!$E$43</f>
        <v>0</v>
      </c>
      <c r="D42" s="38">
        <f>D40*INPUTS!$D$43+D41*INPUTS!$E$43</f>
        <v>0</v>
      </c>
      <c r="E42" s="38">
        <f>E40*INPUTS!$D$43+E41*INPUTS!$E$43</f>
        <v>0</v>
      </c>
      <c r="F42" s="38">
        <f>F40*INPUTS!$D$43+F41*INPUTS!$E$43</f>
        <v>0</v>
      </c>
      <c r="G42" s="38">
        <f>G40*INPUTS!$D$43+G41*INPUTS!$E$43</f>
        <v>0</v>
      </c>
      <c r="H42" s="38">
        <f>H40*INPUTS!$D$43+H41*INPUTS!$E$43</f>
        <v>0</v>
      </c>
      <c r="I42" s="38">
        <f>I40*INPUTS!$D$43+I41*INPUTS!$E$43</f>
        <v>0</v>
      </c>
      <c r="J42" s="38">
        <f>J40*INPUTS!$D$43+J41*INPUTS!$E$43</f>
        <v>0</v>
      </c>
      <c r="K42" s="38">
        <f>K40*INPUTS!$D$43+K41*INPUTS!$E$43</f>
        <v>0</v>
      </c>
      <c r="L42" s="38">
        <f>L40*INPUTS!$D$43+L41*INPUTS!$E$43</f>
        <v>0</v>
      </c>
      <c r="M42" s="38">
        <f>M40*INPUTS!$D$43+M41*INPUTS!$E$43</f>
        <v>0</v>
      </c>
      <c r="N42" s="47">
        <f t="shared" si="12"/>
        <v>0</v>
      </c>
    </row>
    <row r="43" ht="15.75" customHeight="1">
      <c r="A43" s="8" t="s">
        <v>319</v>
      </c>
      <c r="B43" s="38">
        <f>(B40+B41)*INPUTS!$F$43</f>
        <v>0</v>
      </c>
      <c r="C43" s="38">
        <f>(C40+C41)*INPUTS!$F$43</f>
        <v>0</v>
      </c>
      <c r="D43" s="38">
        <f>(D40+D41)*INPUTS!$F$43</f>
        <v>0</v>
      </c>
      <c r="E43" s="38">
        <f>(E40+E41)*INPUTS!$F$43</f>
        <v>0</v>
      </c>
      <c r="F43" s="38">
        <f>(F40+F41)*INPUTS!$F$43</f>
        <v>0</v>
      </c>
      <c r="G43" s="38">
        <f>(G40+G41)*INPUTS!$F$43</f>
        <v>0</v>
      </c>
      <c r="H43" s="38">
        <f>(H40+H41)*INPUTS!$F$43</f>
        <v>0</v>
      </c>
      <c r="I43" s="38">
        <f>(I40+I41)*INPUTS!$F$43</f>
        <v>0</v>
      </c>
      <c r="J43" s="38">
        <f>(J40+J41)*INPUTS!$F$43</f>
        <v>0</v>
      </c>
      <c r="K43" s="38">
        <f>(K40+K41)*INPUTS!$F$43</f>
        <v>0</v>
      </c>
      <c r="L43" s="38">
        <f>(L40+L41)*INPUTS!$F$43</f>
        <v>0</v>
      </c>
      <c r="M43" s="38">
        <f>(M40+M41)*INPUTS!$F$43</f>
        <v>0</v>
      </c>
      <c r="N43" s="47">
        <f t="shared" si="12"/>
        <v>0</v>
      </c>
    </row>
    <row r="44" ht="15.75" customHeight="1"/>
    <row r="45" ht="15.75" customHeight="1">
      <c r="A45" s="36" t="s">
        <v>322</v>
      </c>
      <c r="B45" s="46" t="s">
        <v>313</v>
      </c>
      <c r="C45" s="32" t="str">
        <f>INPUTS!B44</f>
        <v>Yes</v>
      </c>
      <c r="D45" s="46" t="s">
        <v>314</v>
      </c>
      <c r="E45" s="39">
        <f>INPUTS!G44</f>
        <v>4</v>
      </c>
      <c r="F45" s="46" t="s">
        <v>315</v>
      </c>
      <c r="G45" s="39">
        <f>INPUTS!H44</f>
        <v>9000</v>
      </c>
    </row>
    <row r="46" ht="15.75" customHeight="1">
      <c r="A46" s="8" t="s">
        <v>316</v>
      </c>
      <c r="B46" s="28">
        <f>IF(AND(INPUTS!$B$44="Yes",B$5&gt;INPUTS!$G$44),IF(AND(INPUTS!$H$44&gt;0,(ROUND(B$7*INPUTS!$C$44/$B$3,0)+ROUND(B$8*INPUTS!$C$44/$B$3,0))&gt;INPUTS!$H$44),ROUND(ROUND(B$7*INPUTS!$C$44/$B$3,0)*INPUTS!$H$44/(ROUND(B$7*INPUTS!$C$44/$B$3,0)+ROUND(B$8*INPUTS!$C$44/$B$3,0)),0),ROUND(B$7*INPUTS!$C$44/$B$3,0)),0)</f>
        <v>0</v>
      </c>
      <c r="C46" s="28">
        <f>IF(AND(INPUTS!$B$44="Yes",C$5&gt;INPUTS!$G$44),IF(AND(INPUTS!$H$44&gt;0,(ROUND(C$7*INPUTS!$C$44/$B$3,0)+ROUND(C$8*INPUTS!$C$44/$B$3,0))&gt;INPUTS!$H$44),ROUND(ROUND(C$7*INPUTS!$C$44/$B$3,0)*INPUTS!$H$44/(ROUND(C$7*INPUTS!$C$44/$B$3,0)+ROUND(C$8*INPUTS!$C$44/$B$3,0)),0),ROUND(C$7*INPUTS!$C$44/$B$3,0)),0)</f>
        <v>0</v>
      </c>
      <c r="D46" s="28">
        <f>IF(AND(INPUTS!$B$44="Yes",D$5&gt;INPUTS!$G$44),IF(AND(INPUTS!$H$44&gt;0,(ROUND(D$7*INPUTS!$C$44/$B$3,0)+ROUND(D$8*INPUTS!$C$44/$B$3,0))&gt;INPUTS!$H$44),ROUND(ROUND(D$7*INPUTS!$C$44/$B$3,0)*INPUTS!$H$44/(ROUND(D$7*INPUTS!$C$44/$B$3,0)+ROUND(D$8*INPUTS!$C$44/$B$3,0)),0),ROUND(D$7*INPUTS!$C$44/$B$3,0)),0)</f>
        <v>0</v>
      </c>
      <c r="E46" s="28">
        <f>IF(AND(INPUTS!$B$44="Yes",E$5&gt;INPUTS!$G$44),IF(AND(INPUTS!$H$44&gt;0,(ROUND(E$7*INPUTS!$C$44/$B$3,0)+ROUND(E$8*INPUTS!$C$44/$B$3,0))&gt;INPUTS!$H$44),ROUND(ROUND(E$7*INPUTS!$C$44/$B$3,0)*INPUTS!$H$44/(ROUND(E$7*INPUTS!$C$44/$B$3,0)+ROUND(E$8*INPUTS!$C$44/$B$3,0)),0),ROUND(E$7*INPUTS!$C$44/$B$3,0)),0)</f>
        <v>0</v>
      </c>
      <c r="F46" s="28">
        <f>IF(AND(INPUTS!$B$44="Yes",F$5&gt;INPUTS!$G$44),IF(AND(INPUTS!$H$44&gt;0,(ROUND(F$7*INPUTS!$C$44/$B$3,0)+ROUND(F$8*INPUTS!$C$44/$B$3,0))&gt;INPUTS!$H$44),ROUND(ROUND(F$7*INPUTS!$C$44/$B$3,0)*INPUTS!$H$44/(ROUND(F$7*INPUTS!$C$44/$B$3,0)+ROUND(F$8*INPUTS!$C$44/$B$3,0)),0),ROUND(F$7*INPUTS!$C$44/$B$3,0)),0)</f>
        <v>743</v>
      </c>
      <c r="G46" s="28">
        <f>IF(AND(INPUTS!$B$44="Yes",G$5&gt;INPUTS!$G$44),IF(AND(INPUTS!$H$44&gt;0,(ROUND(G$7*INPUTS!$C$44/$B$3,0)+ROUND(G$8*INPUTS!$C$44/$B$3,0))&gt;INPUTS!$H$44),ROUND(ROUND(G$7*INPUTS!$C$44/$B$3,0)*INPUTS!$H$44/(ROUND(G$7*INPUTS!$C$44/$B$3,0)+ROUND(G$8*INPUTS!$C$44/$B$3,0)),0),ROUND(G$7*INPUTS!$C$44/$B$3,0)),0)</f>
        <v>855</v>
      </c>
      <c r="H46" s="28">
        <f>IF(AND(INPUTS!$B$44="Yes",H$5&gt;INPUTS!$G$44),IF(AND(INPUTS!$H$44&gt;0,(ROUND(H$7*INPUTS!$C$44/$B$3,0)+ROUND(H$8*INPUTS!$C$44/$B$3,0))&gt;INPUTS!$H$44),ROUND(ROUND(H$7*INPUTS!$C$44/$B$3,0)*INPUTS!$H$44/(ROUND(H$7*INPUTS!$C$44/$B$3,0)+ROUND(H$8*INPUTS!$C$44/$B$3,0)),0),ROUND(H$7*INPUTS!$C$44/$B$3,0)),0)</f>
        <v>975</v>
      </c>
      <c r="I46" s="28">
        <f>IF(AND(INPUTS!$B$44="Yes",I$5&gt;INPUTS!$G$44),IF(AND(INPUTS!$H$44&gt;0,(ROUND(I$7*INPUTS!$C$44/$B$3,0)+ROUND(I$8*INPUTS!$C$44/$B$3,0))&gt;INPUTS!$H$44),ROUND(ROUND(I$7*INPUTS!$C$44/$B$3,0)*INPUTS!$H$44/(ROUND(I$7*INPUTS!$C$44/$B$3,0)+ROUND(I$8*INPUTS!$C$44/$B$3,0)),0),ROUND(I$7*INPUTS!$C$44/$B$3,0)),0)</f>
        <v>1050</v>
      </c>
      <c r="J46" s="28">
        <f>IF(AND(INPUTS!$B$44="Yes",J$5&gt;INPUTS!$G$44),IF(AND(INPUTS!$H$44&gt;0,(ROUND(J$7*INPUTS!$C$44/$B$3,0)+ROUND(J$8*INPUTS!$C$44/$B$3,0))&gt;INPUTS!$H$44),ROUND(ROUND(J$7*INPUTS!$C$44/$B$3,0)*INPUTS!$H$44/(ROUND(J$7*INPUTS!$C$44/$B$3,0)+ROUND(J$8*INPUTS!$C$44/$B$3,0)),0),ROUND(J$7*INPUTS!$C$44/$B$3,0)),0)</f>
        <v>1069</v>
      </c>
      <c r="K46" s="28">
        <f>IF(AND(INPUTS!$B$44="Yes",K$5&gt;INPUTS!$G$44),IF(AND(INPUTS!$H$44&gt;0,(ROUND(K$7*INPUTS!$C$44/$B$3,0)+ROUND(K$8*INPUTS!$C$44/$B$3,0))&gt;INPUTS!$H$44),ROUND(ROUND(K$7*INPUTS!$C$44/$B$3,0)*INPUTS!$H$44/(ROUND(K$7*INPUTS!$C$44/$B$3,0)+ROUND(K$8*INPUTS!$C$44/$B$3,0)),0),ROUND(K$7*INPUTS!$C$44/$B$3,0)),0)</f>
        <v>1140</v>
      </c>
      <c r="L46" s="28">
        <f>IF(AND(INPUTS!$B$44="Yes",L$5&gt;INPUTS!$G$44),IF(AND(INPUTS!$H$44&gt;0,(ROUND(L$7*INPUTS!$C$44/$B$3,0)+ROUND(L$8*INPUTS!$C$44/$B$3,0))&gt;INPUTS!$H$44),ROUND(ROUND(L$7*INPUTS!$C$44/$B$3,0)*INPUTS!$H$44/(ROUND(L$7*INPUTS!$C$44/$B$3,0)+ROUND(L$8*INPUTS!$C$44/$B$3,0)),0),ROUND(L$7*INPUTS!$C$44/$B$3,0)),0)</f>
        <v>1275</v>
      </c>
      <c r="M46" s="28">
        <f>IF(AND(INPUTS!$B$44="Yes",M$5&gt;INPUTS!$G$44),IF(AND(INPUTS!$H$44&gt;0,(ROUND(M$7*INPUTS!$C$44/$B$3,0)+ROUND(M$8*INPUTS!$C$44/$B$3,0))&gt;INPUTS!$H$44),ROUND(ROUND(M$7*INPUTS!$C$44/$B$3,0)*INPUTS!$H$44/(ROUND(M$7*INPUTS!$C$44/$B$3,0)+ROUND(M$8*INPUTS!$C$44/$B$3,0)),0),ROUND(M$7*INPUTS!$C$44/$B$3,0)),0)</f>
        <v>1350</v>
      </c>
      <c r="N46" s="45">
        <f t="shared" ref="N46:N49" si="13">SUM(B46:M46)</f>
        <v>8457</v>
      </c>
    </row>
    <row r="47" ht="15.75" customHeight="1">
      <c r="A47" s="8" t="s">
        <v>317</v>
      </c>
      <c r="B47" s="28">
        <f>IF(AND(INPUTS!$B$44="Yes",B$5&gt;INPUTS!$G$44),IF(AND(INPUTS!$H$44&gt;0,(ROUND(B$7*INPUTS!$C$44/$B$3,0)+ROUND(B$8*INPUTS!$C$44/$B$3,0))&gt;INPUTS!$H$44),ROUND(ROUND(B$8*INPUTS!$C$44/$B$3,0)*INPUTS!$H$44/(ROUND(B$7*INPUTS!$C$44/$B$3,0)+ROUND(B$8*INPUTS!$C$44/$B$3,0)),0),ROUND(B$8*INPUTS!$C$44/$B$3,0)),0)</f>
        <v>0</v>
      </c>
      <c r="C47" s="28">
        <f>IF(AND(INPUTS!$B$44="Yes",C$5&gt;INPUTS!$G$44),IF(AND(INPUTS!$H$44&gt;0,(ROUND(C$7*INPUTS!$C$44/$B$3,0)+ROUND(C$8*INPUTS!$C$44/$B$3,0))&gt;INPUTS!$H$44),ROUND(ROUND(C$8*INPUTS!$C$44/$B$3,0)*INPUTS!$H$44/(ROUND(C$7*INPUTS!$C$44/$B$3,0)+ROUND(C$8*INPUTS!$C$44/$B$3,0)),0),ROUND(C$8*INPUTS!$C$44/$B$3,0)),0)</f>
        <v>0</v>
      </c>
      <c r="D47" s="28">
        <f>IF(AND(INPUTS!$B$44="Yes",D$5&gt;INPUTS!$G$44),IF(AND(INPUTS!$H$44&gt;0,(ROUND(D$7*INPUTS!$C$44/$B$3,0)+ROUND(D$8*INPUTS!$C$44/$B$3,0))&gt;INPUTS!$H$44),ROUND(ROUND(D$8*INPUTS!$C$44/$B$3,0)*INPUTS!$H$44/(ROUND(D$7*INPUTS!$C$44/$B$3,0)+ROUND(D$8*INPUTS!$C$44/$B$3,0)),0),ROUND(D$8*INPUTS!$C$44/$B$3,0)),0)</f>
        <v>0</v>
      </c>
      <c r="E47" s="28">
        <f>IF(AND(INPUTS!$B$44="Yes",E$5&gt;INPUTS!$G$44),IF(AND(INPUTS!$H$44&gt;0,(ROUND(E$7*INPUTS!$C$44/$B$3,0)+ROUND(E$8*INPUTS!$C$44/$B$3,0))&gt;INPUTS!$H$44),ROUND(ROUND(E$8*INPUTS!$C$44/$B$3,0)*INPUTS!$H$44/(ROUND(E$7*INPUTS!$C$44/$B$3,0)+ROUND(E$8*INPUTS!$C$44/$B$3,0)),0),ROUND(E$8*INPUTS!$C$44/$B$3,0)),0)</f>
        <v>0</v>
      </c>
      <c r="F47" s="28">
        <f>IF(AND(INPUTS!$B$44="Yes",F$5&gt;INPUTS!$G$44),IF(AND(INPUTS!$H$44&gt;0,(ROUND(F$7*INPUTS!$C$44/$B$3,0)+ROUND(F$8*INPUTS!$C$44/$B$3,0))&gt;INPUTS!$H$44),ROUND(ROUND(F$8*INPUTS!$C$44/$B$3,0)*INPUTS!$H$44/(ROUND(F$7*INPUTS!$C$44/$B$3,0)+ROUND(F$8*INPUTS!$C$44/$B$3,0)),0),ROUND(F$8*INPUTS!$C$44/$B$3,0)),0)</f>
        <v>825</v>
      </c>
      <c r="G47" s="28">
        <f>IF(AND(INPUTS!$B$44="Yes",G$5&gt;INPUTS!$G$44),IF(AND(INPUTS!$H$44&gt;0,(ROUND(G$7*INPUTS!$C$44/$B$3,0)+ROUND(G$8*INPUTS!$C$44/$B$3,0))&gt;INPUTS!$H$44),ROUND(ROUND(G$8*INPUTS!$C$44/$B$3,0)*INPUTS!$H$44/(ROUND(G$7*INPUTS!$C$44/$B$3,0)+ROUND(G$8*INPUTS!$C$44/$B$3,0)),0),ROUND(G$8*INPUTS!$C$44/$B$3,0)),0)</f>
        <v>990</v>
      </c>
      <c r="H47" s="28">
        <f>IF(AND(INPUTS!$B$44="Yes",H$5&gt;INPUTS!$G$44),IF(AND(INPUTS!$H$44&gt;0,(ROUND(H$7*INPUTS!$C$44/$B$3,0)+ROUND(H$8*INPUTS!$C$44/$B$3,0))&gt;INPUTS!$H$44),ROUND(ROUND(H$8*INPUTS!$C$44/$B$3,0)*INPUTS!$H$44/(ROUND(H$7*INPUTS!$C$44/$B$3,0)+ROUND(H$8*INPUTS!$C$44/$B$3,0)),0),ROUND(H$8*INPUTS!$C$44/$B$3,0)),0)</f>
        <v>1125</v>
      </c>
      <c r="I47" s="28">
        <f>IF(AND(INPUTS!$B$44="Yes",I$5&gt;INPUTS!$G$44),IF(AND(INPUTS!$H$44&gt;0,(ROUND(I$7*INPUTS!$C$44/$B$3,0)+ROUND(I$8*INPUTS!$C$44/$B$3,0))&gt;INPUTS!$H$44),ROUND(ROUND(I$8*INPUTS!$C$44/$B$3,0)*INPUTS!$H$44/(ROUND(I$7*INPUTS!$C$44/$B$3,0)+ROUND(I$8*INPUTS!$C$44/$B$3,0)),0),ROUND(I$8*INPUTS!$C$44/$B$3,0)),0)</f>
        <v>1170</v>
      </c>
      <c r="J47" s="28">
        <f>IF(AND(INPUTS!$B$44="Yes",J$5&gt;INPUTS!$G$44),IF(AND(INPUTS!$H$44&gt;0,(ROUND(J$7*INPUTS!$C$44/$B$3,0)+ROUND(J$8*INPUTS!$C$44/$B$3,0))&gt;INPUTS!$H$44),ROUND(ROUND(J$8*INPUTS!$C$44/$B$3,0)*INPUTS!$H$44/(ROUND(J$7*INPUTS!$C$44/$B$3,0)+ROUND(J$8*INPUTS!$C$44/$B$3,0)),0),ROUND(J$8*INPUTS!$C$44/$B$3,0)),0)</f>
        <v>1103</v>
      </c>
      <c r="K47" s="28">
        <f>IF(AND(INPUTS!$B$44="Yes",K$5&gt;INPUTS!$G$44),IF(AND(INPUTS!$H$44&gt;0,(ROUND(K$7*INPUTS!$C$44/$B$3,0)+ROUND(K$8*INPUTS!$C$44/$B$3,0))&gt;INPUTS!$H$44),ROUND(ROUND(K$8*INPUTS!$C$44/$B$3,0)*INPUTS!$H$44/(ROUND(K$7*INPUTS!$C$44/$B$3,0)+ROUND(K$8*INPUTS!$C$44/$B$3,0)),0),ROUND(K$8*INPUTS!$C$44/$B$3,0)),0)</f>
        <v>1013</v>
      </c>
      <c r="L47" s="28">
        <f>IF(AND(INPUTS!$B$44="Yes",L$5&gt;INPUTS!$G$44),IF(AND(INPUTS!$H$44&gt;0,(ROUND(L$7*INPUTS!$C$44/$B$3,0)+ROUND(L$8*INPUTS!$C$44/$B$3,0))&gt;INPUTS!$H$44),ROUND(ROUND(L$8*INPUTS!$C$44/$B$3,0)*INPUTS!$H$44/(ROUND(L$7*INPUTS!$C$44/$B$3,0)+ROUND(L$8*INPUTS!$C$44/$B$3,0)),0),ROUND(L$8*INPUTS!$C$44/$B$3,0)),0)</f>
        <v>1020</v>
      </c>
      <c r="M47" s="28">
        <f>IF(AND(INPUTS!$B$44="Yes",M$5&gt;INPUTS!$G$44),IF(AND(INPUTS!$H$44&gt;0,(ROUND(M$7*INPUTS!$C$44/$B$3,0)+ROUND(M$8*INPUTS!$C$44/$B$3,0))&gt;INPUTS!$H$44),ROUND(ROUND(M$8*INPUTS!$C$44/$B$3,0)*INPUTS!$H$44/(ROUND(M$7*INPUTS!$C$44/$B$3,0)+ROUND(M$8*INPUTS!$C$44/$B$3,0)),0),ROUND(M$8*INPUTS!$C$44/$B$3,0)),0)</f>
        <v>1084</v>
      </c>
      <c r="N47" s="45">
        <f t="shared" si="13"/>
        <v>8330</v>
      </c>
    </row>
    <row r="48" ht="15.75" customHeight="1">
      <c r="A48" s="8" t="s">
        <v>318</v>
      </c>
      <c r="B48" s="38">
        <f>B46*INPUTS!$D$44+B47*INPUTS!$E$44</f>
        <v>0</v>
      </c>
      <c r="C48" s="38">
        <f>C46*INPUTS!$D$44+C47*INPUTS!$E$44</f>
        <v>0</v>
      </c>
      <c r="D48" s="38">
        <f>D46*INPUTS!$D$44+D47*INPUTS!$E$44</f>
        <v>0</v>
      </c>
      <c r="E48" s="38">
        <f>E46*INPUTS!$D$44+E47*INPUTS!$E$44</f>
        <v>0</v>
      </c>
      <c r="F48" s="38">
        <f>F46*INPUTS!$D$44+F47*INPUTS!$E$44</f>
        <v>2674.05</v>
      </c>
      <c r="G48" s="38">
        <f>G46*INPUTS!$D$44+G47*INPUTS!$E$44</f>
        <v>3132</v>
      </c>
      <c r="H48" s="38">
        <f>H46*INPUTS!$D$44+H47*INPUTS!$E$44</f>
        <v>3566.25</v>
      </c>
      <c r="I48" s="38">
        <f>I46*INPUTS!$D$44+I47*INPUTS!$E$44</f>
        <v>3784.5</v>
      </c>
      <c r="J48" s="38">
        <f>J46*INPUTS!$D$44+J47*INPUTS!$E$44</f>
        <v>3733.95</v>
      </c>
      <c r="K48" s="38">
        <f>K46*INPUTS!$D$44+K47*INPUTS!$E$44</f>
        <v>3761.55</v>
      </c>
      <c r="L48" s="38">
        <f>L46*INPUTS!$D$44+L47*INPUTS!$E$44</f>
        <v>4054.5</v>
      </c>
      <c r="M48" s="38">
        <f>M46*INPUTS!$D$44+M47*INPUTS!$E$44</f>
        <v>4298.4</v>
      </c>
      <c r="N48" s="47">
        <f t="shared" si="13"/>
        <v>29005.2</v>
      </c>
    </row>
    <row r="49" ht="15.75" customHeight="1">
      <c r="A49" s="8" t="s">
        <v>319</v>
      </c>
      <c r="B49" s="38">
        <f>(B46+B47)*INPUTS!$F$44</f>
        <v>0</v>
      </c>
      <c r="C49" s="38">
        <f>(C46+C47)*INPUTS!$F$44</f>
        <v>0</v>
      </c>
      <c r="D49" s="38">
        <f>(D46+D47)*INPUTS!$F$44</f>
        <v>0</v>
      </c>
      <c r="E49" s="38">
        <f>(E46+E47)*INPUTS!$F$44</f>
        <v>0</v>
      </c>
      <c r="F49" s="38">
        <f>(F46+F47)*INPUTS!$F$44</f>
        <v>658.56</v>
      </c>
      <c r="G49" s="38">
        <f>(G46+G47)*INPUTS!$F$44</f>
        <v>774.9</v>
      </c>
      <c r="H49" s="38">
        <f>(H46+H47)*INPUTS!$F$44</f>
        <v>882</v>
      </c>
      <c r="I49" s="38">
        <f>(I46+I47)*INPUTS!$F$44</f>
        <v>932.4</v>
      </c>
      <c r="J49" s="38">
        <f>(J46+J47)*INPUTS!$F$44</f>
        <v>912.24</v>
      </c>
      <c r="K49" s="38">
        <f>(K46+K47)*INPUTS!$F$44</f>
        <v>904.26</v>
      </c>
      <c r="L49" s="38">
        <f>(L46+L47)*INPUTS!$F$44</f>
        <v>963.9</v>
      </c>
      <c r="M49" s="38">
        <f>(M46+M47)*INPUTS!$F$44</f>
        <v>1022.28</v>
      </c>
      <c r="N49" s="47">
        <f t="shared" si="13"/>
        <v>7050.54</v>
      </c>
    </row>
    <row r="50" ht="15.75" customHeight="1"/>
    <row r="51" ht="15.75" customHeight="1">
      <c r="A51" s="36" t="s">
        <v>323</v>
      </c>
      <c r="B51" s="46" t="s">
        <v>313</v>
      </c>
      <c r="C51" s="32" t="str">
        <f>INPUTS!B45</f>
        <v>Yes</v>
      </c>
      <c r="D51" s="46" t="s">
        <v>314</v>
      </c>
      <c r="E51" s="39">
        <f>INPUTS!G45</f>
        <v>3</v>
      </c>
      <c r="F51" s="46" t="s">
        <v>315</v>
      </c>
      <c r="G51" s="39">
        <f>INPUTS!H45</f>
        <v>4500</v>
      </c>
    </row>
    <row r="52" ht="15.75" customHeight="1">
      <c r="A52" s="8" t="s">
        <v>316</v>
      </c>
      <c r="B52" s="28">
        <f>IF(AND(INPUTS!$B$45="Yes",B$5&gt;INPUTS!$G$45),IF(AND(INPUTS!$H$45&gt;0,(ROUND(B$7*INPUTS!$C$45/$B$3,0)+ROUND(B$8*INPUTS!$C$45/$B$3,0))&gt;INPUTS!$H$45),ROUND(ROUND(B$7*INPUTS!$C$45/$B$3,0)*INPUTS!$H$45/(ROUND(B$7*INPUTS!$C$45/$B$3,0)+ROUND(B$8*INPUTS!$C$45/$B$3,0)),0),ROUND(B$7*INPUTS!$C$45/$B$3,0)),0)</f>
        <v>0</v>
      </c>
      <c r="C52" s="28">
        <f>IF(AND(INPUTS!$B$45="Yes",C$5&gt;INPUTS!$G$45),IF(AND(INPUTS!$H$45&gt;0,(ROUND(C$7*INPUTS!$C$45/$B$3,0)+ROUND(C$8*INPUTS!$C$45/$B$3,0))&gt;INPUTS!$H$45),ROUND(ROUND(C$7*INPUTS!$C$45/$B$3,0)*INPUTS!$H$45/(ROUND(C$7*INPUTS!$C$45/$B$3,0)+ROUND(C$8*INPUTS!$C$45/$B$3,0)),0),ROUND(C$7*INPUTS!$C$45/$B$3,0)),0)</f>
        <v>0</v>
      </c>
      <c r="D52" s="28">
        <f>IF(AND(INPUTS!$B$45="Yes",D$5&gt;INPUTS!$G$45),IF(AND(INPUTS!$H$45&gt;0,(ROUND(D$7*INPUTS!$C$45/$B$3,0)+ROUND(D$8*INPUTS!$C$45/$B$3,0))&gt;INPUTS!$H$45),ROUND(ROUND(D$7*INPUTS!$C$45/$B$3,0)*INPUTS!$H$45/(ROUND(D$7*INPUTS!$C$45/$B$3,0)+ROUND(D$8*INPUTS!$C$45/$B$3,0)),0),ROUND(D$7*INPUTS!$C$45/$B$3,0)),0)</f>
        <v>0</v>
      </c>
      <c r="E52" s="28">
        <f>IF(AND(INPUTS!$B$45="Yes",E$5&gt;INPUTS!$G$45),IF(AND(INPUTS!$H$45&gt;0,(ROUND(E$7*INPUTS!$C$45/$B$3,0)+ROUND(E$8*INPUTS!$C$45/$B$3,0))&gt;INPUTS!$H$45),ROUND(ROUND(E$7*INPUTS!$C$45/$B$3,0)*INPUTS!$H$45/(ROUND(E$7*INPUTS!$C$45/$B$3,0)+ROUND(E$8*INPUTS!$C$45/$B$3,0)),0),ROUND(E$7*INPUTS!$C$45/$B$3,0)),0)</f>
        <v>380</v>
      </c>
      <c r="F52" s="28">
        <f>IF(AND(INPUTS!$B$45="Yes",F$5&gt;INPUTS!$G$45),IF(AND(INPUTS!$H$45&gt;0,(ROUND(F$7*INPUTS!$C$45/$B$3,0)+ROUND(F$8*INPUTS!$C$45/$B$3,0))&gt;INPUTS!$H$45),ROUND(ROUND(F$7*INPUTS!$C$45/$B$3,0)*INPUTS!$H$45/(ROUND(F$7*INPUTS!$C$45/$B$3,0)+ROUND(F$8*INPUTS!$C$45/$B$3,0)),0),ROUND(F$7*INPUTS!$C$45/$B$3,0)),0)</f>
        <v>396</v>
      </c>
      <c r="G52" s="28">
        <f>IF(AND(INPUTS!$B$45="Yes",G$5&gt;INPUTS!$G$45),IF(AND(INPUTS!$H$45&gt;0,(ROUND(G$7*INPUTS!$C$45/$B$3,0)+ROUND(G$8*INPUTS!$C$45/$B$3,0))&gt;INPUTS!$H$45),ROUND(ROUND(G$7*INPUTS!$C$45/$B$3,0)*INPUTS!$H$45/(ROUND(G$7*INPUTS!$C$45/$B$3,0)+ROUND(G$8*INPUTS!$C$45/$B$3,0)),0),ROUND(G$7*INPUTS!$C$45/$B$3,0)),0)</f>
        <v>456</v>
      </c>
      <c r="H52" s="28">
        <f>IF(AND(INPUTS!$B$45="Yes",H$5&gt;INPUTS!$G$45),IF(AND(INPUTS!$H$45&gt;0,(ROUND(H$7*INPUTS!$C$45/$B$3,0)+ROUND(H$8*INPUTS!$C$45/$B$3,0))&gt;INPUTS!$H$45),ROUND(ROUND(H$7*INPUTS!$C$45/$B$3,0)*INPUTS!$H$45/(ROUND(H$7*INPUTS!$C$45/$B$3,0)+ROUND(H$8*INPUTS!$C$45/$B$3,0)),0),ROUND(H$7*INPUTS!$C$45/$B$3,0)),0)</f>
        <v>520</v>
      </c>
      <c r="I52" s="28">
        <f>IF(AND(INPUTS!$B$45="Yes",I$5&gt;INPUTS!$G$45),IF(AND(INPUTS!$H$45&gt;0,(ROUND(I$7*INPUTS!$C$45/$B$3,0)+ROUND(I$8*INPUTS!$C$45/$B$3,0))&gt;INPUTS!$H$45),ROUND(ROUND(I$7*INPUTS!$C$45/$B$3,0)*INPUTS!$H$45/(ROUND(I$7*INPUTS!$C$45/$B$3,0)+ROUND(I$8*INPUTS!$C$45/$B$3,0)),0),ROUND(I$7*INPUTS!$C$45/$B$3,0)),0)</f>
        <v>560</v>
      </c>
      <c r="J52" s="28">
        <f>IF(AND(INPUTS!$B$45="Yes",J$5&gt;INPUTS!$G$45),IF(AND(INPUTS!$H$45&gt;0,(ROUND(J$7*INPUTS!$C$45/$B$3,0)+ROUND(J$8*INPUTS!$C$45/$B$3,0))&gt;INPUTS!$H$45),ROUND(ROUND(J$7*INPUTS!$C$45/$B$3,0)*INPUTS!$H$45/(ROUND(J$7*INPUTS!$C$45/$B$3,0)+ROUND(J$8*INPUTS!$C$45/$B$3,0)),0),ROUND(J$7*INPUTS!$C$45/$B$3,0)),0)</f>
        <v>570</v>
      </c>
      <c r="K52" s="28">
        <f>IF(AND(INPUTS!$B$45="Yes",K$5&gt;INPUTS!$G$45),IF(AND(INPUTS!$H$45&gt;0,(ROUND(K$7*INPUTS!$C$45/$B$3,0)+ROUND(K$8*INPUTS!$C$45/$B$3,0))&gt;INPUTS!$H$45),ROUND(ROUND(K$7*INPUTS!$C$45/$B$3,0)*INPUTS!$H$45/(ROUND(K$7*INPUTS!$C$45/$B$3,0)+ROUND(K$8*INPUTS!$C$45/$B$3,0)),0),ROUND(K$7*INPUTS!$C$45/$B$3,0)),0)</f>
        <v>608</v>
      </c>
      <c r="L52" s="28">
        <f>IF(AND(INPUTS!$B$45="Yes",L$5&gt;INPUTS!$G$45),IF(AND(INPUTS!$H$45&gt;0,(ROUND(L$7*INPUTS!$C$45/$B$3,0)+ROUND(L$8*INPUTS!$C$45/$B$3,0))&gt;INPUTS!$H$45),ROUND(ROUND(L$7*INPUTS!$C$45/$B$3,0)*INPUTS!$H$45/(ROUND(L$7*INPUTS!$C$45/$B$3,0)+ROUND(L$8*INPUTS!$C$45/$B$3,0)),0),ROUND(L$7*INPUTS!$C$45/$B$3,0)),0)</f>
        <v>680</v>
      </c>
      <c r="M52" s="28">
        <f>IF(AND(INPUTS!$B$45="Yes",M$5&gt;INPUTS!$G$45),IF(AND(INPUTS!$H$45&gt;0,(ROUND(M$7*INPUTS!$C$45/$B$3,0)+ROUND(M$8*INPUTS!$C$45/$B$3,0))&gt;INPUTS!$H$45),ROUND(ROUND(M$7*INPUTS!$C$45/$B$3,0)*INPUTS!$H$45/(ROUND(M$7*INPUTS!$C$45/$B$3,0)+ROUND(M$8*INPUTS!$C$45/$B$3,0)),0),ROUND(M$7*INPUTS!$C$45/$B$3,0)),0)</f>
        <v>720</v>
      </c>
      <c r="N52" s="45">
        <f t="shared" ref="N52:N55" si="14">SUM(B52:M52)</f>
        <v>4890</v>
      </c>
    </row>
    <row r="53" ht="15.75" customHeight="1">
      <c r="A53" s="8" t="s">
        <v>317</v>
      </c>
      <c r="B53" s="28">
        <f>IF(AND(INPUTS!$B$45="Yes",B$5&gt;INPUTS!$G$45),IF(AND(INPUTS!$H$45&gt;0,(ROUND(B$7*INPUTS!$C$45/$B$3,0)+ROUND(B$8*INPUTS!$C$45/$B$3,0))&gt;INPUTS!$H$45),ROUND(ROUND(B$8*INPUTS!$C$45/$B$3,0)*INPUTS!$H$45/(ROUND(B$7*INPUTS!$C$45/$B$3,0)+ROUND(B$8*INPUTS!$C$45/$B$3,0)),0),ROUND(B$8*INPUTS!$C$45/$B$3,0)),0)</f>
        <v>0</v>
      </c>
      <c r="C53" s="28">
        <f>IF(AND(INPUTS!$B$45="Yes",C$5&gt;INPUTS!$G$45),IF(AND(INPUTS!$H$45&gt;0,(ROUND(C$7*INPUTS!$C$45/$B$3,0)+ROUND(C$8*INPUTS!$C$45/$B$3,0))&gt;INPUTS!$H$45),ROUND(ROUND(C$8*INPUTS!$C$45/$B$3,0)*INPUTS!$H$45/(ROUND(C$7*INPUTS!$C$45/$B$3,0)+ROUND(C$8*INPUTS!$C$45/$B$3,0)),0),ROUND(C$8*INPUTS!$C$45/$B$3,0)),0)</f>
        <v>0</v>
      </c>
      <c r="D53" s="28">
        <f>IF(AND(INPUTS!$B$45="Yes",D$5&gt;INPUTS!$G$45),IF(AND(INPUTS!$H$45&gt;0,(ROUND(D$7*INPUTS!$C$45/$B$3,0)+ROUND(D$8*INPUTS!$C$45/$B$3,0))&gt;INPUTS!$H$45),ROUND(ROUND(D$8*INPUTS!$C$45/$B$3,0)*INPUTS!$H$45/(ROUND(D$7*INPUTS!$C$45/$B$3,0)+ROUND(D$8*INPUTS!$C$45/$B$3,0)),0),ROUND(D$8*INPUTS!$C$45/$B$3,0)),0)</f>
        <v>0</v>
      </c>
      <c r="E53" s="28">
        <f>IF(AND(INPUTS!$B$45="Yes",E$5&gt;INPUTS!$G$45),IF(AND(INPUTS!$H$45&gt;0,(ROUND(E$7*INPUTS!$C$45/$B$3,0)+ROUND(E$8*INPUTS!$C$45/$B$3,0))&gt;INPUTS!$H$45),ROUND(ROUND(E$8*INPUTS!$C$45/$B$3,0)*INPUTS!$H$45/(ROUND(E$7*INPUTS!$C$45/$B$3,0)+ROUND(E$8*INPUTS!$C$45/$B$3,0)),0),ROUND(E$8*INPUTS!$C$45/$B$3,0)),0)</f>
        <v>360</v>
      </c>
      <c r="F53" s="28">
        <f>IF(AND(INPUTS!$B$45="Yes",F$5&gt;INPUTS!$G$45),IF(AND(INPUTS!$H$45&gt;0,(ROUND(F$7*INPUTS!$C$45/$B$3,0)+ROUND(F$8*INPUTS!$C$45/$B$3,0))&gt;INPUTS!$H$45),ROUND(ROUND(F$8*INPUTS!$C$45/$B$3,0)*INPUTS!$H$45/(ROUND(F$7*INPUTS!$C$45/$B$3,0)+ROUND(F$8*INPUTS!$C$45/$B$3,0)),0),ROUND(F$8*INPUTS!$C$45/$B$3,0)),0)</f>
        <v>440</v>
      </c>
      <c r="G53" s="28">
        <f>IF(AND(INPUTS!$B$45="Yes",G$5&gt;INPUTS!$G$45),IF(AND(INPUTS!$H$45&gt;0,(ROUND(G$7*INPUTS!$C$45/$B$3,0)+ROUND(G$8*INPUTS!$C$45/$B$3,0))&gt;INPUTS!$H$45),ROUND(ROUND(G$8*INPUTS!$C$45/$B$3,0)*INPUTS!$H$45/(ROUND(G$7*INPUTS!$C$45/$B$3,0)+ROUND(G$8*INPUTS!$C$45/$B$3,0)),0),ROUND(G$8*INPUTS!$C$45/$B$3,0)),0)</f>
        <v>528</v>
      </c>
      <c r="H53" s="28">
        <f>IF(AND(INPUTS!$B$45="Yes",H$5&gt;INPUTS!$G$45),IF(AND(INPUTS!$H$45&gt;0,(ROUND(H$7*INPUTS!$C$45/$B$3,0)+ROUND(H$8*INPUTS!$C$45/$B$3,0))&gt;INPUTS!$H$45),ROUND(ROUND(H$8*INPUTS!$C$45/$B$3,0)*INPUTS!$H$45/(ROUND(H$7*INPUTS!$C$45/$B$3,0)+ROUND(H$8*INPUTS!$C$45/$B$3,0)),0),ROUND(H$8*INPUTS!$C$45/$B$3,0)),0)</f>
        <v>600</v>
      </c>
      <c r="I53" s="28">
        <f>IF(AND(INPUTS!$B$45="Yes",I$5&gt;INPUTS!$G$45),IF(AND(INPUTS!$H$45&gt;0,(ROUND(I$7*INPUTS!$C$45/$B$3,0)+ROUND(I$8*INPUTS!$C$45/$B$3,0))&gt;INPUTS!$H$45),ROUND(ROUND(I$8*INPUTS!$C$45/$B$3,0)*INPUTS!$H$45/(ROUND(I$7*INPUTS!$C$45/$B$3,0)+ROUND(I$8*INPUTS!$C$45/$B$3,0)),0),ROUND(I$8*INPUTS!$C$45/$B$3,0)),0)</f>
        <v>624</v>
      </c>
      <c r="J53" s="28">
        <f>IF(AND(INPUTS!$B$45="Yes",J$5&gt;INPUTS!$G$45),IF(AND(INPUTS!$H$45&gt;0,(ROUND(J$7*INPUTS!$C$45/$B$3,0)+ROUND(J$8*INPUTS!$C$45/$B$3,0))&gt;INPUTS!$H$45),ROUND(ROUND(J$8*INPUTS!$C$45/$B$3,0)*INPUTS!$H$45/(ROUND(J$7*INPUTS!$C$45/$B$3,0)+ROUND(J$8*INPUTS!$C$45/$B$3,0)),0),ROUND(J$8*INPUTS!$C$45/$B$3,0)),0)</f>
        <v>588</v>
      </c>
      <c r="K53" s="28">
        <f>IF(AND(INPUTS!$B$45="Yes",K$5&gt;INPUTS!$G$45),IF(AND(INPUTS!$H$45&gt;0,(ROUND(K$7*INPUTS!$C$45/$B$3,0)+ROUND(K$8*INPUTS!$C$45/$B$3,0))&gt;INPUTS!$H$45),ROUND(ROUND(K$8*INPUTS!$C$45/$B$3,0)*INPUTS!$H$45/(ROUND(K$7*INPUTS!$C$45/$B$3,0)+ROUND(K$8*INPUTS!$C$45/$B$3,0)),0),ROUND(K$8*INPUTS!$C$45/$B$3,0)),0)</f>
        <v>540</v>
      </c>
      <c r="L53" s="28">
        <f>IF(AND(INPUTS!$B$45="Yes",L$5&gt;INPUTS!$G$45),IF(AND(INPUTS!$H$45&gt;0,(ROUND(L$7*INPUTS!$C$45/$B$3,0)+ROUND(L$8*INPUTS!$C$45/$B$3,0))&gt;INPUTS!$H$45),ROUND(ROUND(L$8*INPUTS!$C$45/$B$3,0)*INPUTS!$H$45/(ROUND(L$7*INPUTS!$C$45/$B$3,0)+ROUND(L$8*INPUTS!$C$45/$B$3,0)),0),ROUND(L$8*INPUTS!$C$45/$B$3,0)),0)</f>
        <v>544</v>
      </c>
      <c r="M53" s="28">
        <f>IF(AND(INPUTS!$B$45="Yes",M$5&gt;INPUTS!$G$45),IF(AND(INPUTS!$H$45&gt;0,(ROUND(M$7*INPUTS!$C$45/$B$3,0)+ROUND(M$8*INPUTS!$C$45/$B$3,0))&gt;INPUTS!$H$45),ROUND(ROUND(M$8*INPUTS!$C$45/$B$3,0)*INPUTS!$H$45/(ROUND(M$7*INPUTS!$C$45/$B$3,0)+ROUND(M$8*INPUTS!$C$45/$B$3,0)),0),ROUND(M$8*INPUTS!$C$45/$B$3,0)),0)</f>
        <v>578</v>
      </c>
      <c r="N53" s="45">
        <f t="shared" si="14"/>
        <v>4802</v>
      </c>
    </row>
    <row r="54" ht="15.75" customHeight="1">
      <c r="A54" s="8" t="s">
        <v>318</v>
      </c>
      <c r="B54" s="38">
        <f>B52*INPUTS!$D$45+B53*INPUTS!$E$45</f>
        <v>0</v>
      </c>
      <c r="C54" s="38">
        <f>C52*INPUTS!$D$45+C53*INPUTS!$E$45</f>
        <v>0</v>
      </c>
      <c r="D54" s="38">
        <f>D52*INPUTS!$D$45+D53*INPUTS!$E$45</f>
        <v>0</v>
      </c>
      <c r="E54" s="38">
        <f>E52*INPUTS!$D$45+E53*INPUTS!$E$45</f>
        <v>1191</v>
      </c>
      <c r="F54" s="38">
        <f>F52*INPUTS!$D$45+F53*INPUTS!$E$45</f>
        <v>1322.2</v>
      </c>
      <c r="G54" s="38">
        <f>G52*INPUTS!$D$45+G53*INPUTS!$E$45</f>
        <v>1549.2</v>
      </c>
      <c r="H54" s="38">
        <f>H52*INPUTS!$D$45+H53*INPUTS!$E$45</f>
        <v>1764</v>
      </c>
      <c r="I54" s="38">
        <f>I52*INPUTS!$D$45+I53*INPUTS!$E$45</f>
        <v>1872</v>
      </c>
      <c r="J54" s="38">
        <f>J52*INPUTS!$D$45+J53*INPUTS!$E$45</f>
        <v>1846.5</v>
      </c>
      <c r="K54" s="38">
        <f>K52*INPUTS!$D$45+K53*INPUTS!$E$45</f>
        <v>1860.6</v>
      </c>
      <c r="L54" s="38">
        <f>L52*INPUTS!$D$45+L53*INPUTS!$E$45</f>
        <v>2006</v>
      </c>
      <c r="M54" s="38">
        <f>M52*INPUTS!$D$45+M53*INPUTS!$E$45</f>
        <v>2126.5</v>
      </c>
      <c r="N54" s="47">
        <f t="shared" si="14"/>
        <v>15538</v>
      </c>
    </row>
    <row r="55" ht="15.75" customHeight="1">
      <c r="A55" s="8" t="s">
        <v>319</v>
      </c>
      <c r="B55" s="38">
        <f>(B52+B53)*INPUTS!$F$45</f>
        <v>0</v>
      </c>
      <c r="C55" s="38">
        <f>(C52+C53)*INPUTS!$F$45</f>
        <v>0</v>
      </c>
      <c r="D55" s="38">
        <f>(D52+D53)*INPUTS!$F$45</f>
        <v>0</v>
      </c>
      <c r="E55" s="38">
        <f>(E52+E53)*INPUTS!$F$45</f>
        <v>222</v>
      </c>
      <c r="F55" s="38">
        <f>(F52+F53)*INPUTS!$F$45</f>
        <v>250.8</v>
      </c>
      <c r="G55" s="38">
        <f>(G52+G53)*INPUTS!$F$45</f>
        <v>295.2</v>
      </c>
      <c r="H55" s="38">
        <f>(H52+H53)*INPUTS!$F$45</f>
        <v>336</v>
      </c>
      <c r="I55" s="38">
        <f>(I52+I53)*INPUTS!$F$45</f>
        <v>355.2</v>
      </c>
      <c r="J55" s="38">
        <f>(J52+J53)*INPUTS!$F$45</f>
        <v>347.4</v>
      </c>
      <c r="K55" s="38">
        <f>(K52+K53)*INPUTS!$F$45</f>
        <v>344.4</v>
      </c>
      <c r="L55" s="38">
        <f>(L52+L53)*INPUTS!$F$45</f>
        <v>367.2</v>
      </c>
      <c r="M55" s="38">
        <f>(M52+M53)*INPUTS!$F$45</f>
        <v>389.4</v>
      </c>
      <c r="N55" s="47">
        <f t="shared" si="14"/>
        <v>2907.6</v>
      </c>
    </row>
    <row r="56" ht="15.75" customHeight="1"/>
    <row r="57" ht="15.75" customHeight="1">
      <c r="A57" s="36" t="s">
        <v>324</v>
      </c>
      <c r="B57" s="46" t="s">
        <v>313</v>
      </c>
      <c r="C57" s="32" t="str">
        <f>INPUTS!B46</f>
        <v>Yes</v>
      </c>
      <c r="D57" s="46" t="s">
        <v>314</v>
      </c>
      <c r="E57" s="39">
        <f>INPUTS!G46</f>
        <v>4</v>
      </c>
      <c r="F57" s="46" t="s">
        <v>315</v>
      </c>
      <c r="G57" s="39">
        <f>INPUTS!H46</f>
        <v>14000</v>
      </c>
    </row>
    <row r="58" ht="15.75" customHeight="1">
      <c r="A58" s="8" t="s">
        <v>316</v>
      </c>
      <c r="B58" s="28">
        <f>IF(AND(INPUTS!$B$46="Yes",B$5&gt;INPUTS!$G$46),IF(AND(INPUTS!$H$46&gt;0,(ROUND(B$7*INPUTS!$C$46/$B$3,0)+ROUND(B$8*INPUTS!$C$46/$B$3,0))&gt;INPUTS!$H$46),ROUND(ROUND(B$7*INPUTS!$C$46/$B$3,0)*INPUTS!$H$46/(ROUND(B$7*INPUTS!$C$46/$B$3,0)+ROUND(B$8*INPUTS!$C$46/$B$3,0)),0),ROUND(B$7*INPUTS!$C$46/$B$3,0)),0)</f>
        <v>0</v>
      </c>
      <c r="C58" s="28">
        <f>IF(AND(INPUTS!$B$46="Yes",C$5&gt;INPUTS!$G$46),IF(AND(INPUTS!$H$46&gt;0,(ROUND(C$7*INPUTS!$C$46/$B$3,0)+ROUND(C$8*INPUTS!$C$46/$B$3,0))&gt;INPUTS!$H$46),ROUND(ROUND(C$7*INPUTS!$C$46/$B$3,0)*INPUTS!$H$46/(ROUND(C$7*INPUTS!$C$46/$B$3,0)+ROUND(C$8*INPUTS!$C$46/$B$3,0)),0),ROUND(C$7*INPUTS!$C$46/$B$3,0)),0)</f>
        <v>0</v>
      </c>
      <c r="D58" s="28">
        <f>IF(AND(INPUTS!$B$46="Yes",D$5&gt;INPUTS!$G$46),IF(AND(INPUTS!$H$46&gt;0,(ROUND(D$7*INPUTS!$C$46/$B$3,0)+ROUND(D$8*INPUTS!$C$46/$B$3,0))&gt;INPUTS!$H$46),ROUND(ROUND(D$7*INPUTS!$C$46/$B$3,0)*INPUTS!$H$46/(ROUND(D$7*INPUTS!$C$46/$B$3,0)+ROUND(D$8*INPUTS!$C$46/$B$3,0)),0),ROUND(D$7*INPUTS!$C$46/$B$3,0)),0)</f>
        <v>0</v>
      </c>
      <c r="E58" s="28">
        <f>IF(AND(INPUTS!$B$46="Yes",E$5&gt;INPUTS!$G$46),IF(AND(INPUTS!$H$46&gt;0,(ROUND(E$7*INPUTS!$C$46/$B$3,0)+ROUND(E$8*INPUTS!$C$46/$B$3,0))&gt;INPUTS!$H$46),ROUND(ROUND(E$7*INPUTS!$C$46/$B$3,0)*INPUTS!$H$46/(ROUND(E$7*INPUTS!$C$46/$B$3,0)+ROUND(E$8*INPUTS!$C$46/$B$3,0)),0),ROUND(E$7*INPUTS!$C$46/$B$3,0)),0)</f>
        <v>0</v>
      </c>
      <c r="F58" s="28">
        <f>IF(AND(INPUTS!$B$46="Yes",F$5&gt;INPUTS!$G$46),IF(AND(INPUTS!$H$46&gt;0,(ROUND(F$7*INPUTS!$C$46/$B$3,0)+ROUND(F$8*INPUTS!$C$46/$B$3,0))&gt;INPUTS!$H$46),ROUND(ROUND(F$7*INPUTS!$C$46/$B$3,0)*INPUTS!$H$46/(ROUND(F$7*INPUTS!$C$46/$B$3,0)+ROUND(F$8*INPUTS!$C$46/$B$3,0)),0),ROUND(F$7*INPUTS!$C$46/$B$3,0)),0)</f>
        <v>842</v>
      </c>
      <c r="G58" s="28">
        <f>IF(AND(INPUTS!$B$46="Yes",G$5&gt;INPUTS!$G$46),IF(AND(INPUTS!$H$46&gt;0,(ROUND(G$7*INPUTS!$C$46/$B$3,0)+ROUND(G$8*INPUTS!$C$46/$B$3,0))&gt;INPUTS!$H$46),ROUND(ROUND(G$7*INPUTS!$C$46/$B$3,0)*INPUTS!$H$46/(ROUND(G$7*INPUTS!$C$46/$B$3,0)+ROUND(G$8*INPUTS!$C$46/$B$3,0)),0),ROUND(G$7*INPUTS!$C$46/$B$3,0)),0)</f>
        <v>969</v>
      </c>
      <c r="H58" s="28">
        <f>IF(AND(INPUTS!$B$46="Yes",H$5&gt;INPUTS!$G$46),IF(AND(INPUTS!$H$46&gt;0,(ROUND(H$7*INPUTS!$C$46/$B$3,0)+ROUND(H$8*INPUTS!$C$46/$B$3,0))&gt;INPUTS!$H$46),ROUND(ROUND(H$7*INPUTS!$C$46/$B$3,0)*INPUTS!$H$46/(ROUND(H$7*INPUTS!$C$46/$B$3,0)+ROUND(H$8*INPUTS!$C$46/$B$3,0)),0),ROUND(H$7*INPUTS!$C$46/$B$3,0)),0)</f>
        <v>1105</v>
      </c>
      <c r="I58" s="28">
        <f>IF(AND(INPUTS!$B$46="Yes",I$5&gt;INPUTS!$G$46),IF(AND(INPUTS!$H$46&gt;0,(ROUND(I$7*INPUTS!$C$46/$B$3,0)+ROUND(I$8*INPUTS!$C$46/$B$3,0))&gt;INPUTS!$H$46),ROUND(ROUND(I$7*INPUTS!$C$46/$B$3,0)*INPUTS!$H$46/(ROUND(I$7*INPUTS!$C$46/$B$3,0)+ROUND(I$8*INPUTS!$C$46/$B$3,0)),0),ROUND(I$7*INPUTS!$C$46/$B$3,0)),0)</f>
        <v>1190</v>
      </c>
      <c r="J58" s="28">
        <f>IF(AND(INPUTS!$B$46="Yes",J$5&gt;INPUTS!$G$46),IF(AND(INPUTS!$H$46&gt;0,(ROUND(J$7*INPUTS!$C$46/$B$3,0)+ROUND(J$8*INPUTS!$C$46/$B$3,0))&gt;INPUTS!$H$46),ROUND(ROUND(J$7*INPUTS!$C$46/$B$3,0)*INPUTS!$H$46/(ROUND(J$7*INPUTS!$C$46/$B$3,0)+ROUND(J$8*INPUTS!$C$46/$B$3,0)),0),ROUND(J$7*INPUTS!$C$46/$B$3,0)),0)</f>
        <v>1211</v>
      </c>
      <c r="K58" s="28">
        <f>IF(AND(INPUTS!$B$46="Yes",K$5&gt;INPUTS!$G$46),IF(AND(INPUTS!$H$46&gt;0,(ROUND(K$7*INPUTS!$C$46/$B$3,0)+ROUND(K$8*INPUTS!$C$46/$B$3,0))&gt;INPUTS!$H$46),ROUND(ROUND(K$7*INPUTS!$C$46/$B$3,0)*INPUTS!$H$46/(ROUND(K$7*INPUTS!$C$46/$B$3,0)+ROUND(K$8*INPUTS!$C$46/$B$3,0)),0),ROUND(K$7*INPUTS!$C$46/$B$3,0)),0)</f>
        <v>1292</v>
      </c>
      <c r="L58" s="28">
        <f>IF(AND(INPUTS!$B$46="Yes",L$5&gt;INPUTS!$G$46),IF(AND(INPUTS!$H$46&gt;0,(ROUND(L$7*INPUTS!$C$46/$B$3,0)+ROUND(L$8*INPUTS!$C$46/$B$3,0))&gt;INPUTS!$H$46),ROUND(ROUND(L$7*INPUTS!$C$46/$B$3,0)*INPUTS!$H$46/(ROUND(L$7*INPUTS!$C$46/$B$3,0)+ROUND(L$8*INPUTS!$C$46/$B$3,0)),0),ROUND(L$7*INPUTS!$C$46/$B$3,0)),0)</f>
        <v>1445</v>
      </c>
      <c r="M58" s="28">
        <f>IF(AND(INPUTS!$B$46="Yes",M$5&gt;INPUTS!$G$46),IF(AND(INPUTS!$H$46&gt;0,(ROUND(M$7*INPUTS!$C$46/$B$3,0)+ROUND(M$8*INPUTS!$C$46/$B$3,0))&gt;INPUTS!$H$46),ROUND(ROUND(M$7*INPUTS!$C$46/$B$3,0)*INPUTS!$H$46/(ROUND(M$7*INPUTS!$C$46/$B$3,0)+ROUND(M$8*INPUTS!$C$46/$B$3,0)),0),ROUND(M$7*INPUTS!$C$46/$B$3,0)),0)</f>
        <v>1530</v>
      </c>
      <c r="N58" s="45">
        <f t="shared" ref="N58:N61" si="15">SUM(B58:M58)</f>
        <v>9584</v>
      </c>
    </row>
    <row r="59" ht="15.75" customHeight="1">
      <c r="A59" s="8" t="s">
        <v>317</v>
      </c>
      <c r="B59" s="28">
        <f>IF(AND(INPUTS!$B$46="Yes",B$5&gt;INPUTS!$G$46),IF(AND(INPUTS!$H$46&gt;0,(ROUND(B$7*INPUTS!$C$46/$B$3,0)+ROUND(B$8*INPUTS!$C$46/$B$3,0))&gt;INPUTS!$H$46),ROUND(ROUND(B$8*INPUTS!$C$46/$B$3,0)*INPUTS!$H$46/(ROUND(B$7*INPUTS!$C$46/$B$3,0)+ROUND(B$8*INPUTS!$C$46/$B$3,0)),0),ROUND(B$8*INPUTS!$C$46/$B$3,0)),0)</f>
        <v>0</v>
      </c>
      <c r="C59" s="28">
        <f>IF(AND(INPUTS!$B$46="Yes",C$5&gt;INPUTS!$G$46),IF(AND(INPUTS!$H$46&gt;0,(ROUND(C$7*INPUTS!$C$46/$B$3,0)+ROUND(C$8*INPUTS!$C$46/$B$3,0))&gt;INPUTS!$H$46),ROUND(ROUND(C$8*INPUTS!$C$46/$B$3,0)*INPUTS!$H$46/(ROUND(C$7*INPUTS!$C$46/$B$3,0)+ROUND(C$8*INPUTS!$C$46/$B$3,0)),0),ROUND(C$8*INPUTS!$C$46/$B$3,0)),0)</f>
        <v>0</v>
      </c>
      <c r="D59" s="28">
        <f>IF(AND(INPUTS!$B$46="Yes",D$5&gt;INPUTS!$G$46),IF(AND(INPUTS!$H$46&gt;0,(ROUND(D$7*INPUTS!$C$46/$B$3,0)+ROUND(D$8*INPUTS!$C$46/$B$3,0))&gt;INPUTS!$H$46),ROUND(ROUND(D$8*INPUTS!$C$46/$B$3,0)*INPUTS!$H$46/(ROUND(D$7*INPUTS!$C$46/$B$3,0)+ROUND(D$8*INPUTS!$C$46/$B$3,0)),0),ROUND(D$8*INPUTS!$C$46/$B$3,0)),0)</f>
        <v>0</v>
      </c>
      <c r="E59" s="28">
        <f>IF(AND(INPUTS!$B$46="Yes",E$5&gt;INPUTS!$G$46),IF(AND(INPUTS!$H$46&gt;0,(ROUND(E$7*INPUTS!$C$46/$B$3,0)+ROUND(E$8*INPUTS!$C$46/$B$3,0))&gt;INPUTS!$H$46),ROUND(ROUND(E$8*INPUTS!$C$46/$B$3,0)*INPUTS!$H$46/(ROUND(E$7*INPUTS!$C$46/$B$3,0)+ROUND(E$8*INPUTS!$C$46/$B$3,0)),0),ROUND(E$8*INPUTS!$C$46/$B$3,0)),0)</f>
        <v>0</v>
      </c>
      <c r="F59" s="28">
        <f>IF(AND(INPUTS!$B$46="Yes",F$5&gt;INPUTS!$G$46),IF(AND(INPUTS!$H$46&gt;0,(ROUND(F$7*INPUTS!$C$46/$B$3,0)+ROUND(F$8*INPUTS!$C$46/$B$3,0))&gt;INPUTS!$H$46),ROUND(ROUND(F$8*INPUTS!$C$46/$B$3,0)*INPUTS!$H$46/(ROUND(F$7*INPUTS!$C$46/$B$3,0)+ROUND(F$8*INPUTS!$C$46/$B$3,0)),0),ROUND(F$8*INPUTS!$C$46/$B$3,0)),0)</f>
        <v>935</v>
      </c>
      <c r="G59" s="28">
        <f>IF(AND(INPUTS!$B$46="Yes",G$5&gt;INPUTS!$G$46),IF(AND(INPUTS!$H$46&gt;0,(ROUND(G$7*INPUTS!$C$46/$B$3,0)+ROUND(G$8*INPUTS!$C$46/$B$3,0))&gt;INPUTS!$H$46),ROUND(ROUND(G$8*INPUTS!$C$46/$B$3,0)*INPUTS!$H$46/(ROUND(G$7*INPUTS!$C$46/$B$3,0)+ROUND(G$8*INPUTS!$C$46/$B$3,0)),0),ROUND(G$8*INPUTS!$C$46/$B$3,0)),0)</f>
        <v>1122</v>
      </c>
      <c r="H59" s="28">
        <f>IF(AND(INPUTS!$B$46="Yes",H$5&gt;INPUTS!$G$46),IF(AND(INPUTS!$H$46&gt;0,(ROUND(H$7*INPUTS!$C$46/$B$3,0)+ROUND(H$8*INPUTS!$C$46/$B$3,0))&gt;INPUTS!$H$46),ROUND(ROUND(H$8*INPUTS!$C$46/$B$3,0)*INPUTS!$H$46/(ROUND(H$7*INPUTS!$C$46/$B$3,0)+ROUND(H$8*INPUTS!$C$46/$B$3,0)),0),ROUND(H$8*INPUTS!$C$46/$B$3,0)),0)</f>
        <v>1275</v>
      </c>
      <c r="I59" s="28">
        <f>IF(AND(INPUTS!$B$46="Yes",I$5&gt;INPUTS!$G$46),IF(AND(INPUTS!$H$46&gt;0,(ROUND(I$7*INPUTS!$C$46/$B$3,0)+ROUND(I$8*INPUTS!$C$46/$B$3,0))&gt;INPUTS!$H$46),ROUND(ROUND(I$8*INPUTS!$C$46/$B$3,0)*INPUTS!$H$46/(ROUND(I$7*INPUTS!$C$46/$B$3,0)+ROUND(I$8*INPUTS!$C$46/$B$3,0)),0),ROUND(I$8*INPUTS!$C$46/$B$3,0)),0)</f>
        <v>1326</v>
      </c>
      <c r="J59" s="28">
        <f>IF(AND(INPUTS!$B$46="Yes",J$5&gt;INPUTS!$G$46),IF(AND(INPUTS!$H$46&gt;0,(ROUND(J$7*INPUTS!$C$46/$B$3,0)+ROUND(J$8*INPUTS!$C$46/$B$3,0))&gt;INPUTS!$H$46),ROUND(ROUND(J$8*INPUTS!$C$46/$B$3,0)*INPUTS!$H$46/(ROUND(J$7*INPUTS!$C$46/$B$3,0)+ROUND(J$8*INPUTS!$C$46/$B$3,0)),0),ROUND(J$8*INPUTS!$C$46/$B$3,0)),0)</f>
        <v>1250</v>
      </c>
      <c r="K59" s="28">
        <f>IF(AND(INPUTS!$B$46="Yes",K$5&gt;INPUTS!$G$46),IF(AND(INPUTS!$H$46&gt;0,(ROUND(K$7*INPUTS!$C$46/$B$3,0)+ROUND(K$8*INPUTS!$C$46/$B$3,0))&gt;INPUTS!$H$46),ROUND(ROUND(K$8*INPUTS!$C$46/$B$3,0)*INPUTS!$H$46/(ROUND(K$7*INPUTS!$C$46/$B$3,0)+ROUND(K$8*INPUTS!$C$46/$B$3,0)),0),ROUND(K$8*INPUTS!$C$46/$B$3,0)),0)</f>
        <v>1148</v>
      </c>
      <c r="L59" s="28">
        <f>IF(AND(INPUTS!$B$46="Yes",L$5&gt;INPUTS!$G$46),IF(AND(INPUTS!$H$46&gt;0,(ROUND(L$7*INPUTS!$C$46/$B$3,0)+ROUND(L$8*INPUTS!$C$46/$B$3,0))&gt;INPUTS!$H$46),ROUND(ROUND(L$8*INPUTS!$C$46/$B$3,0)*INPUTS!$H$46/(ROUND(L$7*INPUTS!$C$46/$B$3,0)+ROUND(L$8*INPUTS!$C$46/$B$3,0)),0),ROUND(L$8*INPUTS!$C$46/$B$3,0)),0)</f>
        <v>1156</v>
      </c>
      <c r="M59" s="28">
        <f>IF(AND(INPUTS!$B$46="Yes",M$5&gt;INPUTS!$G$46),IF(AND(INPUTS!$H$46&gt;0,(ROUND(M$7*INPUTS!$C$46/$B$3,0)+ROUND(M$8*INPUTS!$C$46/$B$3,0))&gt;INPUTS!$H$46),ROUND(ROUND(M$8*INPUTS!$C$46/$B$3,0)*INPUTS!$H$46/(ROUND(M$7*INPUTS!$C$46/$B$3,0)+ROUND(M$8*INPUTS!$C$46/$B$3,0)),0),ROUND(M$8*INPUTS!$C$46/$B$3,0)),0)</f>
        <v>1228</v>
      </c>
      <c r="N59" s="45">
        <f t="shared" si="15"/>
        <v>9440</v>
      </c>
    </row>
    <row r="60" ht="15.75" customHeight="1">
      <c r="A60" s="8" t="s">
        <v>318</v>
      </c>
      <c r="B60" s="38">
        <f>B58*INPUTS!$D$46+B59*INPUTS!$E$46</f>
        <v>0</v>
      </c>
      <c r="C60" s="38">
        <f>C58*INPUTS!$D$46+C59*INPUTS!$E$46</f>
        <v>0</v>
      </c>
      <c r="D60" s="38">
        <f>D58*INPUTS!$D$46+D59*INPUTS!$E$46</f>
        <v>0</v>
      </c>
      <c r="E60" s="38">
        <f>E58*INPUTS!$D$46+E59*INPUTS!$E$46</f>
        <v>0</v>
      </c>
      <c r="F60" s="38">
        <f>F58*INPUTS!$D$46+F59*INPUTS!$E$46</f>
        <v>2151.25</v>
      </c>
      <c r="G60" s="38">
        <f>G58*INPUTS!$D$46+G59*INPUTS!$E$46</f>
        <v>2519.4</v>
      </c>
      <c r="H60" s="38">
        <f>H58*INPUTS!$D$46+H59*INPUTS!$E$46</f>
        <v>2868.75</v>
      </c>
      <c r="I60" s="38">
        <f>I58*INPUTS!$D$46+I59*INPUTS!$E$46</f>
        <v>3044.7</v>
      </c>
      <c r="J60" s="38">
        <f>J58*INPUTS!$D$46+J59*INPUTS!$E$46</f>
        <v>3004</v>
      </c>
      <c r="K60" s="38">
        <f>K58*INPUTS!$D$46+K59*INPUTS!$E$46</f>
        <v>3028.6</v>
      </c>
      <c r="L60" s="38">
        <f>L58*INPUTS!$D$46+L59*INPUTS!$E$46</f>
        <v>3265.7</v>
      </c>
      <c r="M60" s="38">
        <f>M58*INPUTS!$D$46+M59*INPUTS!$E$46</f>
        <v>3461.6</v>
      </c>
      <c r="N60" s="47">
        <f t="shared" si="15"/>
        <v>23344</v>
      </c>
    </row>
    <row r="61" ht="15.75" customHeight="1">
      <c r="A61" s="8" t="s">
        <v>319</v>
      </c>
      <c r="B61" s="38">
        <f>(B58+B59)*INPUTS!$F$46</f>
        <v>0</v>
      </c>
      <c r="C61" s="38">
        <f>(C58+C59)*INPUTS!$F$46</f>
        <v>0</v>
      </c>
      <c r="D61" s="38">
        <f>(D58+D59)*INPUTS!$F$46</f>
        <v>0</v>
      </c>
      <c r="E61" s="38">
        <f>(E58+E59)*INPUTS!$F$46</f>
        <v>0</v>
      </c>
      <c r="F61" s="38">
        <f>(F58+F59)*INPUTS!$F$46</f>
        <v>799.65</v>
      </c>
      <c r="G61" s="38">
        <f>(G58+G59)*INPUTS!$F$46</f>
        <v>940.95</v>
      </c>
      <c r="H61" s="38">
        <f>(H58+H59)*INPUTS!$F$46</f>
        <v>1071</v>
      </c>
      <c r="I61" s="38">
        <f>(I58+I59)*INPUTS!$F$46</f>
        <v>1132.2</v>
      </c>
      <c r="J61" s="38">
        <f>(J58+J59)*INPUTS!$F$46</f>
        <v>1107.45</v>
      </c>
      <c r="K61" s="38">
        <f>(K58+K59)*INPUTS!$F$46</f>
        <v>1098</v>
      </c>
      <c r="L61" s="38">
        <f>(L58+L59)*INPUTS!$F$46</f>
        <v>1170.45</v>
      </c>
      <c r="M61" s="38">
        <f>(M58+M59)*INPUTS!$F$46</f>
        <v>1241.1</v>
      </c>
      <c r="N61" s="47">
        <f t="shared" si="15"/>
        <v>8560.8</v>
      </c>
    </row>
    <row r="62" ht="15.75" customHeight="1"/>
    <row r="63" ht="18.0" customHeight="1">
      <c r="A63" s="5" t="s">
        <v>325</v>
      </c>
      <c r="B63" s="6"/>
      <c r="C63" s="6"/>
      <c r="D63" s="6"/>
      <c r="E63" s="6"/>
      <c r="F63" s="6"/>
      <c r="G63" s="6"/>
      <c r="H63" s="6"/>
      <c r="I63" s="6"/>
      <c r="J63" s="6"/>
      <c r="K63" s="6"/>
      <c r="L63" s="6"/>
      <c r="M63" s="6"/>
      <c r="N63" s="6"/>
    </row>
    <row r="64" ht="15.75" customHeight="1">
      <c r="A64" s="16" t="s">
        <v>326</v>
      </c>
      <c r="B64" s="47">
        <f t="shared" ref="B64:M64" si="16">B30+B36+B42+B48+B54+B60</f>
        <v>4367.5</v>
      </c>
      <c r="C64" s="47">
        <f t="shared" si="16"/>
        <v>6532.5</v>
      </c>
      <c r="D64" s="47">
        <f t="shared" si="16"/>
        <v>12201</v>
      </c>
      <c r="E64" s="47">
        <f t="shared" si="16"/>
        <v>16171</v>
      </c>
      <c r="F64" s="47">
        <f t="shared" si="16"/>
        <v>22779.5</v>
      </c>
      <c r="G64" s="47">
        <f t="shared" si="16"/>
        <v>26688.6</v>
      </c>
      <c r="H64" s="47">
        <f t="shared" si="16"/>
        <v>30389</v>
      </c>
      <c r="I64" s="47">
        <f t="shared" si="16"/>
        <v>32249.2</v>
      </c>
      <c r="J64" s="47">
        <f t="shared" si="16"/>
        <v>31810.45</v>
      </c>
      <c r="K64" s="47">
        <f t="shared" si="16"/>
        <v>32051.75</v>
      </c>
      <c r="L64" s="47">
        <f t="shared" si="16"/>
        <v>34554.2</v>
      </c>
      <c r="M64" s="47">
        <f t="shared" si="16"/>
        <v>36630</v>
      </c>
      <c r="N64" s="47">
        <f t="shared" ref="N64:N68" si="17">SUM(B64:M64)</f>
        <v>286424.7</v>
      </c>
    </row>
    <row r="65" ht="15.75" customHeight="1">
      <c r="A65" s="8" t="s">
        <v>327</v>
      </c>
      <c r="B65" s="38">
        <f>B64*INPUTS!$B$5</f>
        <v>87.35</v>
      </c>
      <c r="C65" s="38">
        <f>C64*INPUTS!$B$5</f>
        <v>130.65</v>
      </c>
      <c r="D65" s="38">
        <f>D64*INPUTS!$B$5</f>
        <v>244.02</v>
      </c>
      <c r="E65" s="38">
        <f>E64*INPUTS!$B$5</f>
        <v>323.42</v>
      </c>
      <c r="F65" s="38">
        <f>F64*INPUTS!$B$5</f>
        <v>455.59</v>
      </c>
      <c r="G65" s="38">
        <f>G64*INPUTS!$B$5</f>
        <v>533.772</v>
      </c>
      <c r="H65" s="38">
        <f>H64*INPUTS!$B$5</f>
        <v>607.78</v>
      </c>
      <c r="I65" s="38">
        <f>I64*INPUTS!$B$5</f>
        <v>644.984</v>
      </c>
      <c r="J65" s="38">
        <f>J64*INPUTS!$B$5</f>
        <v>636.209</v>
      </c>
      <c r="K65" s="38">
        <f>K64*INPUTS!$B$5</f>
        <v>641.035</v>
      </c>
      <c r="L65" s="38">
        <f>L64*INPUTS!$B$5</f>
        <v>691.084</v>
      </c>
      <c r="M65" s="38">
        <f>M64*INPUTS!$B$5</f>
        <v>732.6</v>
      </c>
      <c r="N65" s="47">
        <f t="shared" si="17"/>
        <v>5728.494</v>
      </c>
    </row>
    <row r="66" ht="15.75" customHeight="1">
      <c r="A66" s="16" t="s">
        <v>328</v>
      </c>
      <c r="B66" s="48">
        <f t="shared" ref="B66:M66" si="18">B64-B65</f>
        <v>4280.15</v>
      </c>
      <c r="C66" s="48">
        <f t="shared" si="18"/>
        <v>6401.85</v>
      </c>
      <c r="D66" s="48">
        <f t="shared" si="18"/>
        <v>11956.98</v>
      </c>
      <c r="E66" s="48">
        <f t="shared" si="18"/>
        <v>15847.58</v>
      </c>
      <c r="F66" s="48">
        <f t="shared" si="18"/>
        <v>22323.91</v>
      </c>
      <c r="G66" s="48">
        <f t="shared" si="18"/>
        <v>26154.828</v>
      </c>
      <c r="H66" s="48">
        <f t="shared" si="18"/>
        <v>29781.22</v>
      </c>
      <c r="I66" s="48">
        <f t="shared" si="18"/>
        <v>31604.216</v>
      </c>
      <c r="J66" s="48">
        <f t="shared" si="18"/>
        <v>31174.241</v>
      </c>
      <c r="K66" s="48">
        <f t="shared" si="18"/>
        <v>31410.715</v>
      </c>
      <c r="L66" s="48">
        <f t="shared" si="18"/>
        <v>33863.116</v>
      </c>
      <c r="M66" s="48">
        <f t="shared" si="18"/>
        <v>35897.4</v>
      </c>
      <c r="N66" s="48">
        <f t="shared" si="17"/>
        <v>280696.206</v>
      </c>
    </row>
    <row r="67" ht="15.75" customHeight="1">
      <c r="A67" s="8" t="s">
        <v>329</v>
      </c>
      <c r="B67" s="30">
        <f t="shared" ref="B67:M67" si="19">B31+B37+B43+B49+B55+B61</f>
        <v>1215.5</v>
      </c>
      <c r="C67" s="30">
        <f t="shared" si="19"/>
        <v>1844.5</v>
      </c>
      <c r="D67" s="30">
        <f t="shared" si="19"/>
        <v>3307.5</v>
      </c>
      <c r="E67" s="30">
        <f t="shared" si="19"/>
        <v>4384.5</v>
      </c>
      <c r="F67" s="30">
        <f t="shared" si="19"/>
        <v>6411.51</v>
      </c>
      <c r="G67" s="30">
        <f t="shared" si="19"/>
        <v>7546.05</v>
      </c>
      <c r="H67" s="30">
        <f t="shared" si="19"/>
        <v>8589</v>
      </c>
      <c r="I67" s="30">
        <f t="shared" si="19"/>
        <v>9079.8</v>
      </c>
      <c r="J67" s="30">
        <f t="shared" si="19"/>
        <v>8880.84</v>
      </c>
      <c r="K67" s="30">
        <f t="shared" si="19"/>
        <v>8804.16</v>
      </c>
      <c r="L67" s="30">
        <f t="shared" si="19"/>
        <v>9386.55</v>
      </c>
      <c r="M67" s="30">
        <f t="shared" si="19"/>
        <v>9954.03</v>
      </c>
      <c r="N67" s="47">
        <f t="shared" si="17"/>
        <v>79403.94</v>
      </c>
    </row>
    <row r="68" ht="15.75" customHeight="1">
      <c r="A68" s="8" t="s">
        <v>330</v>
      </c>
      <c r="B68" s="38">
        <f>IF(B$5&gt;=MAX(INPUTS!$B$70,1),INPUTS!$B$69/MAX(13-MAX(INPUTS!$B$70,1),1),0)</f>
        <v>16666.66667</v>
      </c>
      <c r="C68" s="38">
        <f>IF(C$5&gt;=MAX(INPUTS!$B$70,1),INPUTS!$B$69/MAX(13-MAX(INPUTS!$B$70,1),1),0)</f>
        <v>16666.66667</v>
      </c>
      <c r="D68" s="38">
        <f>IF(D$5&gt;=MAX(INPUTS!$B$70,1),INPUTS!$B$69/MAX(13-MAX(INPUTS!$B$70,1),1),0)</f>
        <v>16666.66667</v>
      </c>
      <c r="E68" s="38">
        <f>IF(E$5&gt;=MAX(INPUTS!$B$70,1),INPUTS!$B$69/MAX(13-MAX(INPUTS!$B$70,1),1),0)</f>
        <v>16666.66667</v>
      </c>
      <c r="F68" s="38">
        <f>IF(F$5&gt;=MAX(INPUTS!$B$70,1),INPUTS!$B$69/MAX(13-MAX(INPUTS!$B$70,1),1),0)</f>
        <v>16666.66667</v>
      </c>
      <c r="G68" s="38">
        <f>IF(G$5&gt;=MAX(INPUTS!$B$70,1),INPUTS!$B$69/MAX(13-MAX(INPUTS!$B$70,1),1),0)</f>
        <v>16666.66667</v>
      </c>
      <c r="H68" s="38">
        <f>IF(H$5&gt;=MAX(INPUTS!$B$70,1),INPUTS!$B$69/MAX(13-MAX(INPUTS!$B$70,1),1),0)</f>
        <v>16666.66667</v>
      </c>
      <c r="I68" s="38">
        <f>IF(I$5&gt;=MAX(INPUTS!$B$70,1),INPUTS!$B$69/MAX(13-MAX(INPUTS!$B$70,1),1),0)</f>
        <v>16666.66667</v>
      </c>
      <c r="J68" s="38">
        <f>IF(J$5&gt;=MAX(INPUTS!$B$70,1),INPUTS!$B$69/MAX(13-MAX(INPUTS!$B$70,1),1),0)</f>
        <v>16666.66667</v>
      </c>
      <c r="K68" s="38">
        <f>IF(K$5&gt;=MAX(INPUTS!$B$70,1),INPUTS!$B$69/MAX(13-MAX(INPUTS!$B$70,1),1),0)</f>
        <v>16666.66667</v>
      </c>
      <c r="L68" s="38">
        <f>IF(L$5&gt;=MAX(INPUTS!$B$70,1),INPUTS!$B$69/MAX(13-MAX(INPUTS!$B$70,1),1),0)</f>
        <v>16666.66667</v>
      </c>
      <c r="M68" s="38">
        <f>IF(M$5&gt;=MAX(INPUTS!$B$70,1),INPUTS!$B$69/MAX(13-MAX(INPUTS!$B$70,1),1),0)</f>
        <v>16666.66667</v>
      </c>
      <c r="N68" s="47">
        <f t="shared" si="17"/>
        <v>200000</v>
      </c>
    </row>
    <row r="69" ht="15.75" customHeight="1"/>
    <row r="70" ht="15.75" customHeight="1">
      <c r="A70" s="10" t="s">
        <v>331</v>
      </c>
    </row>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40.0"/>
    <col customWidth="1" min="2" max="6" width="17.0"/>
    <col customWidth="1" min="7" max="7" width="18.0"/>
    <col customWidth="1" min="8" max="26" width="8.71"/>
  </cols>
  <sheetData>
    <row r="1" ht="21.75" customHeight="1">
      <c r="A1" s="1" t="s">
        <v>332</v>
      </c>
    </row>
    <row r="2">
      <c r="A2" s="10" t="s">
        <v>333</v>
      </c>
    </row>
    <row r="5">
      <c r="A5" s="16" t="s">
        <v>334</v>
      </c>
      <c r="B5" s="43" t="s">
        <v>335</v>
      </c>
      <c r="C5" s="43" t="s">
        <v>336</v>
      </c>
      <c r="D5" s="43" t="s">
        <v>337</v>
      </c>
      <c r="E5" s="43" t="s">
        <v>338</v>
      </c>
      <c r="F5" s="43" t="s">
        <v>339</v>
      </c>
      <c r="G5" s="43" t="s">
        <v>340</v>
      </c>
    </row>
    <row r="6">
      <c r="A6" s="8" t="s">
        <v>341</v>
      </c>
      <c r="B6" s="29">
        <v>1.0</v>
      </c>
      <c r="C6" s="49">
        <f>B6*(1+INPUTS!$C$61)</f>
        <v>2.5</v>
      </c>
      <c r="D6" s="49">
        <f>C6*(1+INPUTS!$D$61)</f>
        <v>5</v>
      </c>
      <c r="E6" s="49">
        <f>D6*(1+INPUTS!$E$61)</f>
        <v>8.35</v>
      </c>
      <c r="F6" s="49">
        <f>E6*(1+INPUTS!$F$61)</f>
        <v>13.36</v>
      </c>
    </row>
    <row r="7">
      <c r="A7" s="8" t="s">
        <v>342</v>
      </c>
      <c r="B7" s="39">
        <f>CALC_MONTHLY!N7</f>
        <v>70925</v>
      </c>
      <c r="C7" s="28">
        <f t="shared" ref="C7:F7" si="1">ROUND($B$7*C6,0)</f>
        <v>177313</v>
      </c>
      <c r="D7" s="28">
        <f t="shared" si="1"/>
        <v>354625</v>
      </c>
      <c r="E7" s="28">
        <f t="shared" si="1"/>
        <v>592224</v>
      </c>
      <c r="F7" s="28">
        <f t="shared" si="1"/>
        <v>947558</v>
      </c>
      <c r="G7" s="45">
        <f t="shared" ref="G7:G9" si="3">SUM(B7:F7)</f>
        <v>2142645</v>
      </c>
    </row>
    <row r="8">
      <c r="A8" s="8" t="s">
        <v>343</v>
      </c>
      <c r="B8" s="39">
        <f>CALC_MONTHLY!N8</f>
        <v>66575</v>
      </c>
      <c r="C8" s="28">
        <f t="shared" ref="C8:F8" si="2">ROUND($B$8*C6,0)</f>
        <v>166438</v>
      </c>
      <c r="D8" s="28">
        <f t="shared" si="2"/>
        <v>332875</v>
      </c>
      <c r="E8" s="28">
        <f t="shared" si="2"/>
        <v>555901</v>
      </c>
      <c r="F8" s="28">
        <f t="shared" si="2"/>
        <v>889442</v>
      </c>
      <c r="G8" s="45">
        <f t="shared" si="3"/>
        <v>2011231</v>
      </c>
    </row>
    <row r="9">
      <c r="A9" s="16" t="s">
        <v>344</v>
      </c>
      <c r="B9" s="45">
        <f t="shared" ref="B9:F9" si="4">B7+B8</f>
        <v>137500</v>
      </c>
      <c r="C9" s="45">
        <f t="shared" si="4"/>
        <v>343751</v>
      </c>
      <c r="D9" s="45">
        <f t="shared" si="4"/>
        <v>687500</v>
      </c>
      <c r="E9" s="45">
        <f t="shared" si="4"/>
        <v>1148125</v>
      </c>
      <c r="F9" s="45">
        <f t="shared" si="4"/>
        <v>1837000</v>
      </c>
      <c r="G9" s="45">
        <f t="shared" si="3"/>
        <v>4153876</v>
      </c>
    </row>
    <row r="10">
      <c r="A10" s="8" t="s">
        <v>345</v>
      </c>
      <c r="B10" s="39">
        <f>MATCH(B9,INPUTS!C51:C57,1)</f>
        <v>4</v>
      </c>
      <c r="C10" s="39">
        <f>MATCH(C9,INPUTS!C51:C57,1)</f>
        <v>4</v>
      </c>
      <c r="D10" s="39">
        <f>MATCH(D9,INPUTS!C51:C57,1)</f>
        <v>5</v>
      </c>
      <c r="E10" s="39">
        <f>MATCH(E9,INPUTS!C51:C57,1)</f>
        <v>6</v>
      </c>
      <c r="F10" s="39">
        <f>MATCH(F9,INPUTS!C51:C57,1)</f>
        <v>6</v>
      </c>
    </row>
    <row r="11">
      <c r="A11" s="8" t="s">
        <v>346</v>
      </c>
      <c r="B11" s="34">
        <f t="array" ref="B11">INDEX(CALC_COGS!I7:I13,B10)</f>
        <v>1.6401648</v>
      </c>
      <c r="C11" s="34">
        <f t="array" ref="C11">INDEX(CALC_COGS!I7:I13,C10)</f>
        <v>1.6401648</v>
      </c>
      <c r="D11" s="34">
        <f t="array" ref="D11">INDEX(CALC_COGS!I7:I13,D10)</f>
        <v>1.463897333</v>
      </c>
      <c r="E11" s="34">
        <f t="array" ref="E11">INDEX(CALC_COGS!I7:I13,E10)</f>
        <v>1.388987104</v>
      </c>
      <c r="F11" s="34">
        <f t="array" ref="F11">INDEX(CALC_COGS!I7:I13,F10)</f>
        <v>1.388987104</v>
      </c>
    </row>
    <row r="12">
      <c r="A12" s="8" t="s">
        <v>347</v>
      </c>
      <c r="B12" s="34">
        <f t="array" ref="B12">INDEX(CALC_COGS!I18:I24,B10)</f>
        <v>0.5915048</v>
      </c>
      <c r="C12" s="34">
        <f t="array" ref="C12">INDEX(CALC_COGS!I18:I24,C10)</f>
        <v>0.5915048</v>
      </c>
      <c r="D12" s="34">
        <f t="array" ref="D12">INDEX(CALC_COGS!I18:I24,D10)</f>
        <v>0.4969573333</v>
      </c>
      <c r="E12" s="34">
        <f t="array" ref="E12">INDEX(CALC_COGS!I18:I24,E10)</f>
        <v>0.472047104</v>
      </c>
      <c r="F12" s="34">
        <f t="array" ref="F12">INDEX(CALC_COGS!I18:I24,F10)</f>
        <v>0.472047104</v>
      </c>
    </row>
    <row r="14" ht="18.0" customHeight="1">
      <c r="A14" s="5" t="s">
        <v>348</v>
      </c>
      <c r="B14" s="6"/>
      <c r="C14" s="6"/>
      <c r="D14" s="6"/>
      <c r="E14" s="6"/>
      <c r="F14" s="6"/>
      <c r="G14" s="6"/>
    </row>
    <row r="15">
      <c r="A15" s="8" t="s">
        <v>349</v>
      </c>
      <c r="B15" s="38">
        <f>SUMPRODUCT(--(INPUTS!B41:B46="Yes"),B$7*INPUTS!C41:C46/CALC_MONTHLY!$B$3*INPUTS!D41:D46+B$8*INPUTS!C41:C46/CALC_MONTHLY!$B$3*INPUTS!E41:E46)</f>
        <v>305279.85</v>
      </c>
      <c r="C15" s="38">
        <f>SUMPRODUCT(--(INPUTS!B41:B46="Yes"),C$7*INPUTS!C41:C46/CALC_MONTHLY!$B$3*INPUTS!D41:D46+C$8*INPUTS!C41:C46/CALC_MONTHLY!$B$3*INPUTS!E41:E46)</f>
        <v>763201.83</v>
      </c>
      <c r="D15" s="38">
        <f>SUMPRODUCT(--(INPUTS!B41:B46="Yes"),D$7*INPUTS!C41:C46/CALC_MONTHLY!$B$3*INPUTS!D41:D46+D$8*INPUTS!C41:C46/CALC_MONTHLY!$B$3*INPUTS!E41:E46)</f>
        <v>1526399.25</v>
      </c>
      <c r="E15" s="38">
        <f>SUMPRODUCT(--(INPUTS!B41:B46="Yes"),E$7*INPUTS!C41:C46/CALC_MONTHLY!$B$3*INPUTS!D41:D46+E$8*INPUTS!C41:C46/CALC_MONTHLY!$B$3*INPUTS!E41:E46)</f>
        <v>2549086.988</v>
      </c>
      <c r="F15" s="38">
        <f>SUMPRODUCT(--(INPUTS!B41:B46="Yes"),F$7*INPUTS!C41:C46/CALC_MONTHLY!$B$3*INPUTS!D41:D46+F$8*INPUTS!C41:C46/CALC_MONTHLY!$B$3*INPUTS!E41:E46)</f>
        <v>4078538.796</v>
      </c>
      <c r="G15" s="47">
        <f t="shared" ref="G15:G19" si="5">SUM(B15:F15)</f>
        <v>9222506.714</v>
      </c>
    </row>
    <row r="16">
      <c r="A16" s="8" t="s">
        <v>350</v>
      </c>
      <c r="B16" s="38">
        <f>B15*INPUTS!$B$5</f>
        <v>6105.597</v>
      </c>
      <c r="C16" s="38">
        <f>C15*INPUTS!$B$5</f>
        <v>15264.0366</v>
      </c>
      <c r="D16" s="38">
        <f>D15*INPUTS!$B$5</f>
        <v>30527.985</v>
      </c>
      <c r="E16" s="38">
        <f>E15*INPUTS!$B$5</f>
        <v>50981.73976</v>
      </c>
      <c r="F16" s="38">
        <f>F15*INPUTS!$B$5</f>
        <v>81570.77592</v>
      </c>
      <c r="G16" s="47">
        <f t="shared" si="5"/>
        <v>184450.1343</v>
      </c>
    </row>
    <row r="17">
      <c r="A17" s="16" t="s">
        <v>351</v>
      </c>
      <c r="B17" s="47">
        <f t="shared" ref="B17:F17" si="6">B15-B16</f>
        <v>299174.253</v>
      </c>
      <c r="C17" s="47">
        <f t="shared" si="6"/>
        <v>747937.7934</v>
      </c>
      <c r="D17" s="47">
        <f t="shared" si="6"/>
        <v>1495871.265</v>
      </c>
      <c r="E17" s="47">
        <f t="shared" si="6"/>
        <v>2498105.248</v>
      </c>
      <c r="F17" s="47">
        <f t="shared" si="6"/>
        <v>3996968.02</v>
      </c>
      <c r="G17" s="47">
        <f t="shared" si="5"/>
        <v>9038056.58</v>
      </c>
    </row>
    <row r="18">
      <c r="A18" s="8" t="s">
        <v>352</v>
      </c>
      <c r="B18" s="38">
        <f>INPUTS!B67</f>
        <v>0</v>
      </c>
      <c r="C18" s="38">
        <f>INPUTS!C67</f>
        <v>500000</v>
      </c>
      <c r="D18" s="38">
        <f>INPUTS!D67</f>
        <v>3000000</v>
      </c>
      <c r="E18" s="38">
        <f>INPUTS!E67</f>
        <v>8000000</v>
      </c>
      <c r="F18" s="38">
        <f>INPUTS!F67</f>
        <v>18000000</v>
      </c>
      <c r="G18" s="47">
        <f t="shared" si="5"/>
        <v>29500000</v>
      </c>
    </row>
    <row r="19">
      <c r="A19" s="16" t="s">
        <v>353</v>
      </c>
      <c r="B19" s="48">
        <f t="shared" ref="B19:F19" si="7">B17+B18</f>
        <v>299174.253</v>
      </c>
      <c r="C19" s="48">
        <f t="shared" si="7"/>
        <v>1247937.793</v>
      </c>
      <c r="D19" s="48">
        <f t="shared" si="7"/>
        <v>4495871.265</v>
      </c>
      <c r="E19" s="48">
        <f t="shared" si="7"/>
        <v>10498105.25</v>
      </c>
      <c r="F19" s="48">
        <f t="shared" si="7"/>
        <v>21996968.02</v>
      </c>
      <c r="G19" s="48">
        <f t="shared" si="5"/>
        <v>38538056.58</v>
      </c>
    </row>
    <row r="21" ht="18.0" customHeight="1">
      <c r="A21" s="5" t="s">
        <v>354</v>
      </c>
      <c r="B21" s="6"/>
      <c r="C21" s="6"/>
      <c r="D21" s="6"/>
      <c r="E21" s="6"/>
      <c r="F21" s="6"/>
      <c r="G21" s="6"/>
    </row>
    <row r="22" ht="15.75" customHeight="1">
      <c r="A22" s="8" t="s">
        <v>355</v>
      </c>
      <c r="B22" s="30">
        <f t="shared" ref="B22:F22" si="8">B11*B7+B12*B8</f>
        <v>155708.1205</v>
      </c>
      <c r="C22" s="30">
        <f t="shared" si="8"/>
        <v>389271.4171</v>
      </c>
      <c r="D22" s="30">
        <f t="shared" si="8"/>
        <v>684559.2642</v>
      </c>
      <c r="E22" s="30">
        <f t="shared" si="8"/>
        <v>1085002.956</v>
      </c>
      <c r="F22" s="30">
        <f t="shared" si="8"/>
        <v>1736004.363</v>
      </c>
      <c r="G22" s="47">
        <f t="shared" ref="G22:G25" si="9">SUM(B22:F22)</f>
        <v>4050546.12</v>
      </c>
    </row>
    <row r="23" ht="15.75" customHeight="1">
      <c r="A23" s="8" t="s">
        <v>356</v>
      </c>
      <c r="B23" s="38">
        <f>B18*INPUTS!$B$68</f>
        <v>0</v>
      </c>
      <c r="C23" s="38">
        <f>C18*INPUTS!$B$68</f>
        <v>125000</v>
      </c>
      <c r="D23" s="38">
        <f>D18*INPUTS!$B$68</f>
        <v>750000</v>
      </c>
      <c r="E23" s="38">
        <f>E18*INPUTS!$B$68</f>
        <v>2000000</v>
      </c>
      <c r="F23" s="38">
        <f>F18*INPUTS!$B$68</f>
        <v>4500000</v>
      </c>
      <c r="G23" s="47">
        <f t="shared" si="9"/>
        <v>7375000</v>
      </c>
    </row>
    <row r="24" ht="15.75" customHeight="1">
      <c r="A24" s="16" t="s">
        <v>357</v>
      </c>
      <c r="B24" s="47">
        <f t="shared" ref="B24:F24" si="10">B22+B23</f>
        <v>155708.1205</v>
      </c>
      <c r="C24" s="47">
        <f t="shared" si="10"/>
        <v>514271.4171</v>
      </c>
      <c r="D24" s="47">
        <f t="shared" si="10"/>
        <v>1434559.264</v>
      </c>
      <c r="E24" s="47">
        <f t="shared" si="10"/>
        <v>3085002.956</v>
      </c>
      <c r="F24" s="47">
        <f t="shared" si="10"/>
        <v>6236004.363</v>
      </c>
      <c r="G24" s="47">
        <f t="shared" si="9"/>
        <v>11425546.12</v>
      </c>
    </row>
    <row r="25" ht="15.75" customHeight="1">
      <c r="A25" s="16" t="s">
        <v>358</v>
      </c>
      <c r="B25" s="48">
        <f t="shared" ref="B25:F25" si="11">B19-B24</f>
        <v>143466.1325</v>
      </c>
      <c r="C25" s="48">
        <f t="shared" si="11"/>
        <v>733666.3763</v>
      </c>
      <c r="D25" s="48">
        <f t="shared" si="11"/>
        <v>3061312.001</v>
      </c>
      <c r="E25" s="48">
        <f t="shared" si="11"/>
        <v>7413102.292</v>
      </c>
      <c r="F25" s="48">
        <f t="shared" si="11"/>
        <v>15760963.66</v>
      </c>
      <c r="G25" s="48">
        <f t="shared" si="9"/>
        <v>27112510.46</v>
      </c>
    </row>
    <row r="26" ht="15.75" customHeight="1">
      <c r="A26" s="8" t="s">
        <v>359</v>
      </c>
      <c r="B26" s="23">
        <f t="shared" ref="B26:F26" si="12">IF(B19=0,0,B25/B19)</f>
        <v>0.4795403717</v>
      </c>
      <c r="C26" s="23">
        <f t="shared" si="12"/>
        <v>0.587903003</v>
      </c>
      <c r="D26" s="23">
        <f t="shared" si="12"/>
        <v>0.6809162942</v>
      </c>
      <c r="E26" s="23">
        <f t="shared" si="12"/>
        <v>0.7061371664</v>
      </c>
      <c r="F26" s="23">
        <f t="shared" si="12"/>
        <v>0.7165061859</v>
      </c>
    </row>
    <row r="27" ht="15.75" customHeight="1"/>
    <row r="28" ht="18.0" customHeight="1">
      <c r="A28" s="5" t="s">
        <v>360</v>
      </c>
      <c r="B28" s="6"/>
      <c r="C28" s="6"/>
      <c r="D28" s="6"/>
      <c r="E28" s="6"/>
      <c r="F28" s="6"/>
      <c r="G28" s="6"/>
    </row>
    <row r="29" ht="15.75" customHeight="1">
      <c r="A29" s="8" t="s">
        <v>361</v>
      </c>
      <c r="B29" s="38">
        <f>SUMPRODUCT(--(INPUTS!B41:B46="Yes"),(B$7+B$8)*INPUTS!C41:C46/CALC_MONTHLY!$B$3*INPUTS!F41:F46)</f>
        <v>84356.25</v>
      </c>
      <c r="C29" s="38">
        <f>SUMPRODUCT(--(INPUTS!B41:B46="Yes"),(C$7+C$8)*INPUTS!C41:C46/CALC_MONTHLY!$B$3*INPUTS!F41:F46)</f>
        <v>210891.2385</v>
      </c>
      <c r="D29" s="38">
        <f>SUMPRODUCT(--(INPUTS!B41:B46="Yes"),(D$7+D$8)*INPUTS!C41:C46/CALC_MONTHLY!$B$3*INPUTS!F41:F46)</f>
        <v>421781.25</v>
      </c>
      <c r="E29" s="38">
        <f>SUMPRODUCT(--(INPUTS!B41:B46="Yes"),(E$7+E$8)*INPUTS!C41:C46/CALC_MONTHLY!$B$3*INPUTS!F41:F46)</f>
        <v>704374.6875</v>
      </c>
      <c r="F29" s="38">
        <f>SUMPRODUCT(--(INPUTS!B41:B46="Yes"),(F$7+F$8)*INPUTS!C41:C46/CALC_MONTHLY!$B$3*INPUTS!F41:F46)</f>
        <v>1126999.5</v>
      </c>
      <c r="G29" s="47">
        <f t="shared" ref="G29:G40" si="13">SUM(B29:F29)</f>
        <v>2548402.926</v>
      </c>
    </row>
    <row r="30" ht="15.75" customHeight="1">
      <c r="A30" s="8" t="s">
        <v>362</v>
      </c>
      <c r="B30" s="38">
        <f>(INPUTS!$B$25+INPUTS!$B$26)*12*INPUTS!B66</f>
        <v>84000</v>
      </c>
      <c r="C30" s="38">
        <f>(INPUTS!$B$25+INPUTS!$B$26)*12*INPUTS!C66</f>
        <v>126000</v>
      </c>
      <c r="D30" s="38">
        <f>(INPUTS!$B$25+INPUTS!$B$26)*12*INPUTS!D66</f>
        <v>168000</v>
      </c>
      <c r="E30" s="38">
        <f>(INPUTS!$B$25+INPUTS!$B$26)*12*INPUTS!E66</f>
        <v>210000</v>
      </c>
      <c r="F30" s="38">
        <f>(INPUTS!$B$25+INPUTS!$B$26)*12*INPUTS!F66</f>
        <v>252000</v>
      </c>
      <c r="G30" s="47">
        <f t="shared" si="13"/>
        <v>840000</v>
      </c>
    </row>
    <row r="31" ht="15.75" customHeight="1">
      <c r="A31" s="8" t="s">
        <v>363</v>
      </c>
      <c r="B31" s="38">
        <f>INPUTS!B62</f>
        <v>150000</v>
      </c>
      <c r="C31" s="38">
        <f>INPUTS!C62</f>
        <v>250000</v>
      </c>
      <c r="D31" s="38">
        <f>INPUTS!D62</f>
        <v>400000</v>
      </c>
      <c r="E31" s="38">
        <f>INPUTS!E62</f>
        <v>600000</v>
      </c>
      <c r="F31" s="38">
        <f>INPUTS!F62</f>
        <v>800000</v>
      </c>
      <c r="G31" s="47">
        <f t="shared" si="13"/>
        <v>2200000</v>
      </c>
    </row>
    <row r="32" ht="15.75" customHeight="1">
      <c r="A32" s="8" t="s">
        <v>364</v>
      </c>
      <c r="B32" s="38">
        <f>INPUTS!B63</f>
        <v>200000</v>
      </c>
      <c r="C32" s="38">
        <f>INPUTS!C63</f>
        <v>400000</v>
      </c>
      <c r="D32" s="38">
        <f>INPUTS!D63</f>
        <v>750000</v>
      </c>
      <c r="E32" s="38">
        <f>INPUTS!E63</f>
        <v>1250000</v>
      </c>
      <c r="F32" s="38">
        <f>INPUTS!F63</f>
        <v>1800000</v>
      </c>
      <c r="G32" s="47">
        <f t="shared" si="13"/>
        <v>4400000</v>
      </c>
    </row>
    <row r="33" ht="15.75" customHeight="1">
      <c r="A33" s="8" t="s">
        <v>365</v>
      </c>
      <c r="B33" s="38">
        <f>INPUTS!B64</f>
        <v>0</v>
      </c>
      <c r="C33" s="38">
        <f>INPUTS!C64</f>
        <v>150000</v>
      </c>
      <c r="D33" s="38">
        <f>INPUTS!D64</f>
        <v>400000</v>
      </c>
      <c r="E33" s="38">
        <f>INPUTS!E64</f>
        <v>800000</v>
      </c>
      <c r="F33" s="38">
        <f>INPUTS!F64</f>
        <v>1500000</v>
      </c>
      <c r="G33" s="47">
        <f t="shared" si="13"/>
        <v>2850000</v>
      </c>
    </row>
    <row r="34" ht="15.75" customHeight="1">
      <c r="A34" s="8" t="s">
        <v>366</v>
      </c>
      <c r="B34" s="38">
        <f>INPUTS!B65</f>
        <v>100000</v>
      </c>
      <c r="C34" s="38">
        <f>INPUTS!C65</f>
        <v>200000</v>
      </c>
      <c r="D34" s="38">
        <f>INPUTS!D65</f>
        <v>100000</v>
      </c>
      <c r="E34" s="38">
        <f>INPUTS!E65</f>
        <v>50000</v>
      </c>
      <c r="F34" s="38">
        <f>INPUTS!F65</f>
        <v>50000</v>
      </c>
      <c r="G34" s="47">
        <f t="shared" si="13"/>
        <v>500000</v>
      </c>
    </row>
    <row r="35" ht="15.75" customHeight="1">
      <c r="A35" s="8" t="s">
        <v>367</v>
      </c>
      <c r="B35" s="38">
        <f>INPUTS!$B$27*12*INPUTS!B66</f>
        <v>72000</v>
      </c>
      <c r="C35" s="38">
        <f>INPUTS!$B$27*12*INPUTS!C66</f>
        <v>108000</v>
      </c>
      <c r="D35" s="38">
        <f>INPUTS!$B$27*12*INPUTS!D66</f>
        <v>144000</v>
      </c>
      <c r="E35" s="38">
        <f>INPUTS!$B$27*12*INPUTS!E66</f>
        <v>180000</v>
      </c>
      <c r="F35" s="38">
        <f>INPUTS!$B$27*12*INPUTS!F66</f>
        <v>216000</v>
      </c>
      <c r="G35" s="47">
        <f t="shared" si="13"/>
        <v>720000</v>
      </c>
    </row>
    <row r="36" ht="15.75" customHeight="1">
      <c r="A36" s="8" t="s">
        <v>368</v>
      </c>
      <c r="B36" s="38">
        <f>B9*INPUTS!$B$8*INPUTS!$B$14</f>
        <v>687.5</v>
      </c>
      <c r="C36" s="38">
        <f>C9*INPUTS!$B$8*INPUTS!$B$14</f>
        <v>1718.755</v>
      </c>
      <c r="D36" s="38">
        <f>D9*INPUTS!$B$8*INPUTS!$B$14</f>
        <v>3437.5</v>
      </c>
      <c r="E36" s="38">
        <f>E9*INPUTS!$B$8*INPUTS!$B$14</f>
        <v>5740.625</v>
      </c>
      <c r="F36" s="38">
        <f>F9*INPUTS!$B$8*INPUTS!$B$14</f>
        <v>9185</v>
      </c>
      <c r="G36" s="47">
        <f t="shared" si="13"/>
        <v>20769.38</v>
      </c>
    </row>
    <row r="37" ht="15.75" customHeight="1">
      <c r="A37" s="8" t="s">
        <v>369</v>
      </c>
      <c r="B37" s="38">
        <f>B7*INPUTS!$B$11*B11*INPUTS!$B$13+B8*INPUTS!$B$12*B12*INPUTS!$B$13</f>
        <v>1981.206919</v>
      </c>
      <c r="C37" s="38">
        <f>C7*INPUTS!$B$11*C11*INPUTS!$B$13+C8*INPUTS!$B$12*C12*INPUTS!$B$13</f>
        <v>4953.031373</v>
      </c>
      <c r="D37" s="38">
        <f>D7*INPUTS!$B$11*D11*INPUTS!$B$13+D8*INPUTS!$B$12*D12*INPUTS!$B$13</f>
        <v>8779.566912</v>
      </c>
      <c r="E37" s="38">
        <f>E7*INPUTS!$B$11*E11*INPUTS!$B$13+E8*INPUTS!$B$12*E12*INPUTS!$B$13</f>
        <v>13913.34122</v>
      </c>
      <c r="F37" s="38">
        <f>F7*INPUTS!$B$11*F11*INPUTS!$B$13+F8*INPUTS!$B$12*F12*INPUTS!$B$13</f>
        <v>22261.33876</v>
      </c>
      <c r="G37" s="47">
        <f t="shared" si="13"/>
        <v>51888.48518</v>
      </c>
    </row>
    <row r="38" ht="15.75" customHeight="1">
      <c r="A38" s="8" t="s">
        <v>370</v>
      </c>
      <c r="B38" s="38">
        <f>INPUTS!$C$139*12</f>
        <v>66000</v>
      </c>
      <c r="C38" s="38">
        <f>INPUTS!$C$139*12</f>
        <v>66000</v>
      </c>
      <c r="D38" s="38">
        <f>INPUTS!$C$139*12</f>
        <v>66000</v>
      </c>
      <c r="E38" s="38">
        <f>INPUTS!$C$139*12</f>
        <v>66000</v>
      </c>
      <c r="F38" s="38">
        <f>INPUTS!$C$139*12</f>
        <v>66000</v>
      </c>
      <c r="G38" s="47">
        <f t="shared" si="13"/>
        <v>330000</v>
      </c>
    </row>
    <row r="39" ht="15.75" customHeight="1">
      <c r="A39" s="8" t="s">
        <v>371</v>
      </c>
      <c r="B39" s="38">
        <f>(IF(AND(INPUTS!$B$130&gt;0,INPUTS!$B$132&gt;0),(INPUTS!$B$130*(INPUTS!$B$131/12)*POWER(1+INPUTS!$B$131/12,INPUTS!$B$132))/(POWER(1+INPUTS!$B$131/12,INPUTS!$B$132)-1),0))*12</f>
        <v>0</v>
      </c>
      <c r="C39" s="38">
        <f>(IF(AND(INPUTS!$B$130&gt;0,INPUTS!$B$132&gt;0),(INPUTS!$B$130*(INPUTS!$B$131/12)*POWER(1+INPUTS!$B$131/12,INPUTS!$B$132))/(POWER(1+INPUTS!$B$131/12,INPUTS!$B$132)-1),0))*12</f>
        <v>0</v>
      </c>
      <c r="D39" s="38">
        <f>(IF(AND(INPUTS!$B$130&gt;0,INPUTS!$B$132&gt;0),(INPUTS!$B$130*(INPUTS!$B$131/12)*POWER(1+INPUTS!$B$131/12,INPUTS!$B$132))/(POWER(1+INPUTS!$B$131/12,INPUTS!$B$132)-1),0))*12</f>
        <v>0</v>
      </c>
      <c r="E39" s="38">
        <f>(IF(AND(INPUTS!$B$130&gt;0,INPUTS!$B$132&gt;0),(INPUTS!$B$130*(INPUTS!$B$131/12)*POWER(1+INPUTS!$B$131/12,INPUTS!$B$132))/(POWER(1+INPUTS!$B$131/12,INPUTS!$B$132)-1),0))*12</f>
        <v>0</v>
      </c>
      <c r="F39" s="38">
        <f>(IF(AND(INPUTS!$B$130&gt;0,INPUTS!$B$132&gt;0),(INPUTS!$B$130*(INPUTS!$B$131/12)*POWER(1+INPUTS!$B$131/12,INPUTS!$B$132))/(POWER(1+INPUTS!$B$131/12,INPUTS!$B$132)-1),0))*12</f>
        <v>0</v>
      </c>
      <c r="G39" s="47">
        <f t="shared" si="13"/>
        <v>0</v>
      </c>
    </row>
    <row r="40" ht="15.75" customHeight="1">
      <c r="A40" s="16" t="s">
        <v>372</v>
      </c>
      <c r="B40" s="48">
        <f t="shared" ref="B40:F40" si="14">SUM(B29:B39)</f>
        <v>759024.9569</v>
      </c>
      <c r="C40" s="48">
        <f t="shared" si="14"/>
        <v>1517563.025</v>
      </c>
      <c r="D40" s="48">
        <f t="shared" si="14"/>
        <v>2461998.317</v>
      </c>
      <c r="E40" s="48">
        <f t="shared" si="14"/>
        <v>3880028.654</v>
      </c>
      <c r="F40" s="48">
        <f t="shared" si="14"/>
        <v>5842445.839</v>
      </c>
      <c r="G40" s="48">
        <f t="shared" si="13"/>
        <v>14461060.79</v>
      </c>
    </row>
    <row r="41" ht="15.75" customHeight="1"/>
    <row r="42" ht="15.75" customHeight="1">
      <c r="A42" s="16" t="s">
        <v>373</v>
      </c>
      <c r="B42" s="48">
        <f t="shared" ref="B42:F42" si="15">B25-B40</f>
        <v>-615558.8244</v>
      </c>
      <c r="C42" s="48">
        <f t="shared" si="15"/>
        <v>-783896.6486</v>
      </c>
      <c r="D42" s="48">
        <f t="shared" si="15"/>
        <v>599313.6839</v>
      </c>
      <c r="E42" s="48">
        <f t="shared" si="15"/>
        <v>3533073.639</v>
      </c>
      <c r="F42" s="48">
        <f t="shared" si="15"/>
        <v>9918517.819</v>
      </c>
      <c r="G42" s="48">
        <f>SUM(B42:F42)</f>
        <v>12651449.67</v>
      </c>
    </row>
    <row r="43" ht="15.75" customHeight="1">
      <c r="A43" s="8" t="s">
        <v>374</v>
      </c>
      <c r="B43" s="23">
        <f t="shared" ref="B43:F43" si="16">IF(B19=0,0,B42/B19)</f>
        <v>-2.057526068</v>
      </c>
      <c r="C43" s="23">
        <f t="shared" si="16"/>
        <v>-0.6281536249</v>
      </c>
      <c r="D43" s="23">
        <f t="shared" si="16"/>
        <v>0.1333031238</v>
      </c>
      <c r="E43" s="23">
        <f t="shared" si="16"/>
        <v>0.3365439339</v>
      </c>
      <c r="F43" s="23">
        <f t="shared" si="16"/>
        <v>0.4509038614</v>
      </c>
    </row>
    <row r="44" ht="15.75" customHeight="1">
      <c r="A44" s="16" t="s">
        <v>375</v>
      </c>
      <c r="B44" s="47">
        <f>B42</f>
        <v>-615558.8244</v>
      </c>
      <c r="C44" s="47">
        <f t="shared" ref="C44:F44" si="17">B44+C42</f>
        <v>-1399455.473</v>
      </c>
      <c r="D44" s="47">
        <f t="shared" si="17"/>
        <v>-800141.7891</v>
      </c>
      <c r="E44" s="47">
        <f t="shared" si="17"/>
        <v>2732931.85</v>
      </c>
      <c r="F44" s="47">
        <f t="shared" si="17"/>
        <v>12651449.67</v>
      </c>
    </row>
    <row r="45" ht="15.75" customHeight="1"/>
    <row r="46" ht="15.75" customHeight="1">
      <c r="A46" s="19" t="s">
        <v>376</v>
      </c>
      <c r="B46" s="38">
        <f>(INPUTS!$B$128+INPUTS!$B$129+INPUTS!$B$130-INPUTS!$B$125)+B42</f>
        <v>1751941.176</v>
      </c>
      <c r="C46" s="30">
        <f t="shared" ref="C46:F46" si="18">B46+C42</f>
        <v>968044.527</v>
      </c>
      <c r="D46" s="30">
        <f t="shared" si="18"/>
        <v>1567358.211</v>
      </c>
      <c r="E46" s="30">
        <f t="shared" si="18"/>
        <v>5100431.85</v>
      </c>
      <c r="F46" s="30">
        <f t="shared" si="18"/>
        <v>15018949.67</v>
      </c>
      <c r="G46" s="10" t="s">
        <v>377</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1.0" topLeftCell="D12" activePane="bottomRight" state="frozen"/>
      <selection activeCell="D1" sqref="D1" pane="topRight"/>
      <selection activeCell="A12" sqref="A12" pane="bottomLeft"/>
      <selection activeCell="D12" sqref="D12" pane="bottomRight"/>
    </sheetView>
  </sheetViews>
  <sheetFormatPr customHeight="1" defaultColWidth="14.43" defaultRowHeight="15.0"/>
  <cols>
    <col customWidth="1" min="1" max="1" width="74.71"/>
    <col customWidth="1" min="2" max="2" width="11.71"/>
    <col customWidth="1" min="3" max="3" width="9.71"/>
    <col customWidth="1" min="4" max="4" width="11.86"/>
    <col customWidth="1" min="5" max="8" width="12.0"/>
    <col customWidth="1" min="9" max="9" width="11.0"/>
    <col customWidth="1" min="10" max="10" width="12.0"/>
    <col customWidth="1" min="11" max="11" width="11.0"/>
    <col customWidth="1" min="12" max="12" width="12.0"/>
    <col customWidth="1" min="13" max="13" width="11.0"/>
    <col customWidth="1" min="14" max="18" width="13.0"/>
    <col customWidth="1" min="19" max="19" width="7.0"/>
    <col customWidth="1" min="20" max="26" width="8.71"/>
  </cols>
  <sheetData>
    <row r="1" ht="21.75" customHeight="1">
      <c r="A1" s="1" t="s">
        <v>378</v>
      </c>
    </row>
    <row r="2">
      <c r="A2" s="10" t="s">
        <v>379</v>
      </c>
    </row>
    <row r="4" ht="18.0" customHeight="1">
      <c r="A4" s="5" t="s">
        <v>380</v>
      </c>
      <c r="B4" s="6"/>
      <c r="C4" s="6"/>
      <c r="D4" s="6"/>
      <c r="E4" s="6"/>
      <c r="F4" s="6"/>
      <c r="G4" s="6"/>
      <c r="H4" s="6"/>
    </row>
    <row r="5">
      <c r="A5" s="8" t="s">
        <v>381</v>
      </c>
      <c r="B5" s="14">
        <v>25.0</v>
      </c>
      <c r="D5" s="10" t="s">
        <v>382</v>
      </c>
    </row>
    <row r="6">
      <c r="A6" s="8" t="s">
        <v>383</v>
      </c>
      <c r="B6" s="14">
        <v>45.0</v>
      </c>
      <c r="D6" s="10" t="s">
        <v>384</v>
      </c>
    </row>
    <row r="7">
      <c r="A7" s="8" t="s">
        <v>385</v>
      </c>
      <c r="B7" s="14">
        <v>30.0</v>
      </c>
      <c r="D7" s="10" t="s">
        <v>386</v>
      </c>
    </row>
    <row r="8">
      <c r="A8" s="16" t="s">
        <v>387</v>
      </c>
      <c r="B8" s="38">
        <f>INPUTS!$B$128+INPUTS!$B$129+INPUTS!$B$130</f>
        <v>2600000</v>
      </c>
    </row>
    <row r="9">
      <c r="A9" s="16" t="s">
        <v>388</v>
      </c>
      <c r="B9" s="38">
        <f>INPUTS!$B$125</f>
        <v>232500</v>
      </c>
    </row>
    <row r="10">
      <c r="A10" s="16" t="s">
        <v>389</v>
      </c>
      <c r="B10" s="47">
        <f>B8-B9</f>
        <v>2367500</v>
      </c>
    </row>
    <row r="11">
      <c r="A11" s="7" t="s">
        <v>390</v>
      </c>
      <c r="B11" s="7" t="s">
        <v>391</v>
      </c>
      <c r="C11" s="7" t="s">
        <v>392</v>
      </c>
      <c r="D11" s="7" t="s">
        <v>393</v>
      </c>
      <c r="E11" s="7" t="s">
        <v>354</v>
      </c>
      <c r="F11" s="7" t="s">
        <v>394</v>
      </c>
      <c r="G11" s="7" t="s">
        <v>373</v>
      </c>
      <c r="H11" s="7" t="s">
        <v>395</v>
      </c>
      <c r="I11" s="7" t="s">
        <v>396</v>
      </c>
      <c r="J11" s="7" t="s">
        <v>397</v>
      </c>
      <c r="K11" s="7" t="s">
        <v>398</v>
      </c>
      <c r="L11" s="7" t="s">
        <v>399</v>
      </c>
      <c r="M11" s="7" t="s">
        <v>400</v>
      </c>
      <c r="N11" s="7" t="s">
        <v>401</v>
      </c>
      <c r="O11" s="7" t="s">
        <v>402</v>
      </c>
      <c r="P11" s="7" t="s">
        <v>403</v>
      </c>
      <c r="Q11" s="7" t="s">
        <v>404</v>
      </c>
      <c r="R11" s="7" t="s">
        <v>405</v>
      </c>
      <c r="S11" s="7" t="s">
        <v>406</v>
      </c>
    </row>
    <row r="12">
      <c r="A12" s="28">
        <v>1.0</v>
      </c>
      <c r="B12" s="28">
        <f t="shared" ref="B12:B71" si="1">INT((A12-1)/12)+1</f>
        <v>1</v>
      </c>
      <c r="C12" s="28">
        <f t="shared" ref="C12:C71" si="2">MOD(A12-1,12)+1</f>
        <v>1</v>
      </c>
      <c r="D12" s="38">
        <f t="array" ref="D12">IF(B12=1,INDEX(CALC_MONTHLY!$B$66:$M$66,C12),INDEX(CALC_PL!$B$19:$F$19,B12)/12)</f>
        <v>4280.15</v>
      </c>
      <c r="E12" s="38">
        <f t="array" ref="E12">IF(B12=1,INDEX(CALC_MONTHLY!$B$7:$M$7,C12)*CALC_PL!$B$11+INDEX(CALC_MONTHLY!$B$8:$M$8,C12)*CALC_PL!$B$12,INDEX(CALC_PL!$B$24:$F$24,B12)/12)</f>
        <v>4526.54766</v>
      </c>
      <c r="F12" s="38">
        <f t="array" ref="F12">INDEX(CALC_PL!$B$40:$F$40,B12)/12</f>
        <v>63252.07974</v>
      </c>
      <c r="G12" s="30">
        <f t="shared" ref="G12:G71" si="3">D12-E12-F12</f>
        <v>-63498.4774</v>
      </c>
      <c r="H12" s="30">
        <f t="shared" ref="H12:H71" si="4">D12*$B$5/30</f>
        <v>3566.791667</v>
      </c>
      <c r="I12" s="30">
        <f>H12</f>
        <v>3566.791667</v>
      </c>
      <c r="J12" s="30">
        <f t="shared" ref="J12:J71" si="5">E12*$B$6/30</f>
        <v>6789.82149</v>
      </c>
      <c r="K12" s="30">
        <f>J12</f>
        <v>6789.82149</v>
      </c>
      <c r="L12" s="30">
        <f t="shared" ref="L12:L71" si="6">E12*$B$7/30</f>
        <v>4526.54766</v>
      </c>
      <c r="M12" s="30">
        <f>L12</f>
        <v>4526.54766</v>
      </c>
      <c r="N12" s="30">
        <f t="shared" ref="N12:N71" si="7">G12-I12-K12+M12</f>
        <v>-69328.5429</v>
      </c>
      <c r="O12" s="30">
        <f>$B$10</f>
        <v>2367500</v>
      </c>
      <c r="P12" s="47">
        <f t="shared" ref="P12:P71" si="8">O12+N12</f>
        <v>2298171.457</v>
      </c>
      <c r="Q12" s="30">
        <f>P12</f>
        <v>2298171.457</v>
      </c>
      <c r="R12" s="30">
        <f>G12</f>
        <v>-63498.4774</v>
      </c>
      <c r="S12" s="28">
        <f>IF(R12&gt;=0,A12,0)</f>
        <v>0</v>
      </c>
    </row>
    <row r="13">
      <c r="A13" s="28">
        <v>2.0</v>
      </c>
      <c r="B13" s="28">
        <f t="shared" si="1"/>
        <v>1</v>
      </c>
      <c r="C13" s="28">
        <f t="shared" si="2"/>
        <v>2</v>
      </c>
      <c r="D13" s="38">
        <f t="array" ref="D13">IF(B13=1,INDEX(CALC_MONTHLY!$B$66:$M$66,C13),INDEX(CALC_PL!$B$19:$F$19,B13)/12)</f>
        <v>6401.85</v>
      </c>
      <c r="E13" s="38">
        <f t="array" ref="E13">IF(B13=1,INDEX(CALC_MONTHLY!$B$7:$M$7,C13)*CALC_PL!$B$11+INDEX(CALC_MONTHLY!$B$8:$M$8,C13)*CALC_PL!$B$12,INDEX(CALC_PL!$B$24:$F$24,B13)/12)</f>
        <v>6669.49154</v>
      </c>
      <c r="F13" s="38">
        <f t="array" ref="F13">INDEX(CALC_PL!$B$40:$F$40,B13)/12</f>
        <v>63252.07974</v>
      </c>
      <c r="G13" s="30">
        <f t="shared" si="3"/>
        <v>-63519.72128</v>
      </c>
      <c r="H13" s="30">
        <f t="shared" si="4"/>
        <v>5334.875</v>
      </c>
      <c r="I13" s="30">
        <f t="shared" ref="I13:I71" si="9">H13-H12</f>
        <v>1768.083333</v>
      </c>
      <c r="J13" s="30">
        <f t="shared" si="5"/>
        <v>10004.23731</v>
      </c>
      <c r="K13" s="30">
        <f t="shared" ref="K13:K71" si="10">J13-J12</f>
        <v>3214.41582</v>
      </c>
      <c r="L13" s="30">
        <f t="shared" si="6"/>
        <v>6669.49154</v>
      </c>
      <c r="M13" s="30">
        <f t="shared" ref="M13:M71" si="11">L13-L12</f>
        <v>2142.94388</v>
      </c>
      <c r="N13" s="30">
        <f t="shared" si="7"/>
        <v>-66359.27656</v>
      </c>
      <c r="O13" s="30">
        <f t="shared" ref="O13:O71" si="12">P12</f>
        <v>2298171.457</v>
      </c>
      <c r="P13" s="47">
        <f t="shared" si="8"/>
        <v>2231812.181</v>
      </c>
      <c r="Q13" s="30">
        <f t="shared" ref="Q13:Q71" si="13">MIN(Q12,P13)</f>
        <v>2231812.181</v>
      </c>
      <c r="R13" s="30">
        <f t="shared" ref="R13:R71" si="14">R12+G13</f>
        <v>-127018.1987</v>
      </c>
      <c r="S13" s="28">
        <f t="shared" ref="S13:S71" si="15">IF(S12&gt;0,S12,IF(R13&gt;=0,A13,0))</f>
        <v>0</v>
      </c>
    </row>
    <row r="14">
      <c r="A14" s="28">
        <v>3.0</v>
      </c>
      <c r="B14" s="28">
        <f t="shared" si="1"/>
        <v>1</v>
      </c>
      <c r="C14" s="28">
        <f t="shared" si="2"/>
        <v>3</v>
      </c>
      <c r="D14" s="38">
        <f t="array" ref="D14">IF(B14=1,INDEX(CALC_MONTHLY!$B$66:$M$66,C14),INDEX(CALC_PL!$B$19:$F$19,B14)/12)</f>
        <v>11956.98</v>
      </c>
      <c r="E14" s="38">
        <f t="array" ref="E14">IF(B14=1,INDEX(CALC_MONTHLY!$B$7:$M$7,C14)*CALC_PL!$B$11+INDEX(CALC_MONTHLY!$B$8:$M$8,C14)*CALC_PL!$B$12,INDEX(CALC_PL!$B$24:$F$24,B14)/12)</f>
        <v>8751.93228</v>
      </c>
      <c r="F14" s="38">
        <f t="array" ref="F14">INDEX(CALC_PL!$B$40:$F$40,B14)/12</f>
        <v>63252.07974</v>
      </c>
      <c r="G14" s="30">
        <f t="shared" si="3"/>
        <v>-60047.03202</v>
      </c>
      <c r="H14" s="30">
        <f t="shared" si="4"/>
        <v>9964.15</v>
      </c>
      <c r="I14" s="30">
        <f t="shared" si="9"/>
        <v>4629.275</v>
      </c>
      <c r="J14" s="30">
        <f t="shared" si="5"/>
        <v>13127.89842</v>
      </c>
      <c r="K14" s="30">
        <f t="shared" si="10"/>
        <v>3123.66111</v>
      </c>
      <c r="L14" s="30">
        <f t="shared" si="6"/>
        <v>8751.93228</v>
      </c>
      <c r="M14" s="30">
        <f t="shared" si="11"/>
        <v>2082.44074</v>
      </c>
      <c r="N14" s="30">
        <f t="shared" si="7"/>
        <v>-65717.52739</v>
      </c>
      <c r="O14" s="30">
        <f t="shared" si="12"/>
        <v>2231812.181</v>
      </c>
      <c r="P14" s="47">
        <f t="shared" si="8"/>
        <v>2166094.653</v>
      </c>
      <c r="Q14" s="30">
        <f t="shared" si="13"/>
        <v>2166094.653</v>
      </c>
      <c r="R14" s="30">
        <f t="shared" si="14"/>
        <v>-187065.2307</v>
      </c>
      <c r="S14" s="28">
        <f t="shared" si="15"/>
        <v>0</v>
      </c>
    </row>
    <row r="15">
      <c r="A15" s="28">
        <v>4.0</v>
      </c>
      <c r="B15" s="28">
        <f t="shared" si="1"/>
        <v>1</v>
      </c>
      <c r="C15" s="28">
        <f t="shared" si="2"/>
        <v>4</v>
      </c>
      <c r="D15" s="38">
        <f t="array" ref="D15">IF(B15=1,INDEX(CALC_MONTHLY!$B$66:$M$66,C15),INDEX(CALC_PL!$B$19:$F$19,B15)/12)</f>
        <v>15847.58</v>
      </c>
      <c r="E15" s="38">
        <f t="array" ref="E15">IF(B15=1,INDEX(CALC_MONTHLY!$B$7:$M$7,C15)*CALC_PL!$B$11+INDEX(CALC_MONTHLY!$B$8:$M$8,C15)*CALC_PL!$B$12,INDEX(CALC_PL!$B$24:$F$24,B15)/12)</f>
        <v>10452.5544</v>
      </c>
      <c r="F15" s="38">
        <f t="array" ref="F15">INDEX(CALC_PL!$B$40:$F$40,B15)/12</f>
        <v>63252.07974</v>
      </c>
      <c r="G15" s="30">
        <f t="shared" si="3"/>
        <v>-57857.05414</v>
      </c>
      <c r="H15" s="30">
        <f t="shared" si="4"/>
        <v>13206.31667</v>
      </c>
      <c r="I15" s="30">
        <f t="shared" si="9"/>
        <v>3242.166667</v>
      </c>
      <c r="J15" s="30">
        <f t="shared" si="5"/>
        <v>15678.8316</v>
      </c>
      <c r="K15" s="30">
        <f t="shared" si="10"/>
        <v>2550.93318</v>
      </c>
      <c r="L15" s="30">
        <f t="shared" si="6"/>
        <v>10452.5544</v>
      </c>
      <c r="M15" s="30">
        <f t="shared" si="11"/>
        <v>1700.62212</v>
      </c>
      <c r="N15" s="30">
        <f t="shared" si="7"/>
        <v>-61949.53187</v>
      </c>
      <c r="O15" s="30">
        <f t="shared" si="12"/>
        <v>2166094.653</v>
      </c>
      <c r="P15" s="47">
        <f t="shared" si="8"/>
        <v>2104145.121</v>
      </c>
      <c r="Q15" s="30">
        <f t="shared" si="13"/>
        <v>2104145.121</v>
      </c>
      <c r="R15" s="30">
        <f t="shared" si="14"/>
        <v>-244922.2849</v>
      </c>
      <c r="S15" s="28">
        <f t="shared" si="15"/>
        <v>0</v>
      </c>
    </row>
    <row r="16">
      <c r="A16" s="28">
        <v>5.0</v>
      </c>
      <c r="B16" s="28">
        <f t="shared" si="1"/>
        <v>1</v>
      </c>
      <c r="C16" s="28">
        <f t="shared" si="2"/>
        <v>5</v>
      </c>
      <c r="D16" s="38">
        <f t="array" ref="D16">IF(B16=1,INDEX(CALC_MONTHLY!$B$66:$M$66,C16),INDEX(CALC_PL!$B$19:$F$19,B16)/12)</f>
        <v>22323.91</v>
      </c>
      <c r="E16" s="38">
        <f t="array" ref="E16">IF(B16=1,INDEX(CALC_MONTHLY!$B$7:$M$7,C16)*CALC_PL!$B$11+INDEX(CALC_MONTHLY!$B$8:$M$8,C16)*CALC_PL!$B$12,INDEX(CALC_PL!$B$24:$F$24,B16)/12)</f>
        <v>11372.09216</v>
      </c>
      <c r="F16" s="38">
        <f t="array" ref="F16">INDEX(CALC_PL!$B$40:$F$40,B16)/12</f>
        <v>63252.07974</v>
      </c>
      <c r="G16" s="30">
        <f t="shared" si="3"/>
        <v>-52300.2619</v>
      </c>
      <c r="H16" s="30">
        <f t="shared" si="4"/>
        <v>18603.25833</v>
      </c>
      <c r="I16" s="30">
        <f t="shared" si="9"/>
        <v>5396.941667</v>
      </c>
      <c r="J16" s="30">
        <f t="shared" si="5"/>
        <v>17058.13824</v>
      </c>
      <c r="K16" s="30">
        <f t="shared" si="10"/>
        <v>1379.30664</v>
      </c>
      <c r="L16" s="30">
        <f t="shared" si="6"/>
        <v>11372.09216</v>
      </c>
      <c r="M16" s="30">
        <f t="shared" si="11"/>
        <v>919.53776</v>
      </c>
      <c r="N16" s="30">
        <f t="shared" si="7"/>
        <v>-58156.97245</v>
      </c>
      <c r="O16" s="30">
        <f t="shared" si="12"/>
        <v>2104145.121</v>
      </c>
      <c r="P16" s="47">
        <f t="shared" si="8"/>
        <v>2045988.149</v>
      </c>
      <c r="Q16" s="30">
        <f t="shared" si="13"/>
        <v>2045988.149</v>
      </c>
      <c r="R16" s="30">
        <f t="shared" si="14"/>
        <v>-297222.5468</v>
      </c>
      <c r="S16" s="28">
        <f t="shared" si="15"/>
        <v>0</v>
      </c>
    </row>
    <row r="17">
      <c r="A17" s="28">
        <v>6.0</v>
      </c>
      <c r="B17" s="28">
        <f t="shared" si="1"/>
        <v>1</v>
      </c>
      <c r="C17" s="28">
        <f t="shared" si="2"/>
        <v>6</v>
      </c>
      <c r="D17" s="38">
        <f t="array" ref="D17">IF(B17=1,INDEX(CALC_MONTHLY!$B$66:$M$66,C17),INDEX(CALC_PL!$B$19:$F$19,B17)/12)</f>
        <v>26154.828</v>
      </c>
      <c r="E17" s="38">
        <f t="array" ref="E17">IF(B17=1,INDEX(CALC_MONTHLY!$B$7:$M$7,C17)*CALC_PL!$B$11+INDEX(CALC_MONTHLY!$B$8:$M$8,C17)*CALC_PL!$B$12,INDEX(CALC_PL!$B$24:$F$24,B17)/12)</f>
        <v>13252.87104</v>
      </c>
      <c r="F17" s="38">
        <f t="array" ref="F17">INDEX(CALC_PL!$B$40:$F$40,B17)/12</f>
        <v>63252.07974</v>
      </c>
      <c r="G17" s="30">
        <f t="shared" si="3"/>
        <v>-50350.12278</v>
      </c>
      <c r="H17" s="30">
        <f t="shared" si="4"/>
        <v>21795.69</v>
      </c>
      <c r="I17" s="30">
        <f t="shared" si="9"/>
        <v>3192.431667</v>
      </c>
      <c r="J17" s="30">
        <f t="shared" si="5"/>
        <v>19879.30656</v>
      </c>
      <c r="K17" s="30">
        <f t="shared" si="10"/>
        <v>2821.16832</v>
      </c>
      <c r="L17" s="30">
        <f t="shared" si="6"/>
        <v>13252.87104</v>
      </c>
      <c r="M17" s="30">
        <f t="shared" si="11"/>
        <v>1880.77888</v>
      </c>
      <c r="N17" s="30">
        <f t="shared" si="7"/>
        <v>-54482.94389</v>
      </c>
      <c r="O17" s="30">
        <f t="shared" si="12"/>
        <v>2045988.149</v>
      </c>
      <c r="P17" s="47">
        <f t="shared" si="8"/>
        <v>1991505.205</v>
      </c>
      <c r="Q17" s="30">
        <f t="shared" si="13"/>
        <v>1991505.205</v>
      </c>
      <c r="R17" s="30">
        <f t="shared" si="14"/>
        <v>-347572.6695</v>
      </c>
      <c r="S17" s="28">
        <f t="shared" si="15"/>
        <v>0</v>
      </c>
    </row>
    <row r="18">
      <c r="A18" s="28">
        <v>7.0</v>
      </c>
      <c r="B18" s="28">
        <f t="shared" si="1"/>
        <v>1</v>
      </c>
      <c r="C18" s="28">
        <f t="shared" si="2"/>
        <v>7</v>
      </c>
      <c r="D18" s="38">
        <f t="array" ref="D18">IF(B18=1,INDEX(CALC_MONTHLY!$B$66:$M$66,C18),INDEX(CALC_PL!$B$19:$F$19,B18)/12)</f>
        <v>29781.22</v>
      </c>
      <c r="E18" s="38">
        <f t="array" ref="E18">IF(B18=1,INDEX(CALC_MONTHLY!$B$7:$M$7,C18)*CALC_PL!$B$11+INDEX(CALC_MONTHLY!$B$8:$M$8,C18)*CALC_PL!$B$12,INDEX(CALC_PL!$B$24:$F$24,B18)/12)</f>
        <v>15097.3572</v>
      </c>
      <c r="F18" s="38">
        <f t="array" ref="F18">INDEX(CALC_PL!$B$40:$F$40,B18)/12</f>
        <v>63252.07974</v>
      </c>
      <c r="G18" s="30">
        <f t="shared" si="3"/>
        <v>-48568.21694</v>
      </c>
      <c r="H18" s="30">
        <f t="shared" si="4"/>
        <v>24817.68333</v>
      </c>
      <c r="I18" s="30">
        <f t="shared" si="9"/>
        <v>3021.993333</v>
      </c>
      <c r="J18" s="30">
        <f t="shared" si="5"/>
        <v>22646.0358</v>
      </c>
      <c r="K18" s="30">
        <f t="shared" si="10"/>
        <v>2766.72924</v>
      </c>
      <c r="L18" s="30">
        <f t="shared" si="6"/>
        <v>15097.3572</v>
      </c>
      <c r="M18" s="30">
        <f t="shared" si="11"/>
        <v>1844.48616</v>
      </c>
      <c r="N18" s="30">
        <f t="shared" si="7"/>
        <v>-52512.45336</v>
      </c>
      <c r="O18" s="30">
        <f t="shared" si="12"/>
        <v>1991505.205</v>
      </c>
      <c r="P18" s="47">
        <f t="shared" si="8"/>
        <v>1938992.752</v>
      </c>
      <c r="Q18" s="30">
        <f t="shared" si="13"/>
        <v>1938992.752</v>
      </c>
      <c r="R18" s="30">
        <f t="shared" si="14"/>
        <v>-396140.8865</v>
      </c>
      <c r="S18" s="28">
        <f t="shared" si="15"/>
        <v>0</v>
      </c>
    </row>
    <row r="19">
      <c r="A19" s="28">
        <v>8.0</v>
      </c>
      <c r="B19" s="28">
        <f t="shared" si="1"/>
        <v>1</v>
      </c>
      <c r="C19" s="28">
        <f t="shared" si="2"/>
        <v>8</v>
      </c>
      <c r="D19" s="38">
        <f t="array" ref="D19">IF(B19=1,INDEX(CALC_MONTHLY!$B$66:$M$66,C19),INDEX(CALC_PL!$B$19:$F$19,B19)/12)</f>
        <v>31604.216</v>
      </c>
      <c r="E19" s="38">
        <f t="array" ref="E19">IF(B19=1,INDEX(CALC_MONTHLY!$B$7:$M$7,C19)*CALC_PL!$B$11+INDEX(CALC_MONTHLY!$B$8:$M$8,C19)*CALC_PL!$B$12,INDEX(CALC_PL!$B$24:$F$24,B19)/12)</f>
        <v>16094.89104</v>
      </c>
      <c r="F19" s="38">
        <f t="array" ref="F19">INDEX(CALC_PL!$B$40:$F$40,B19)/12</f>
        <v>63252.07974</v>
      </c>
      <c r="G19" s="30">
        <f t="shared" si="3"/>
        <v>-47742.75478</v>
      </c>
      <c r="H19" s="30">
        <f t="shared" si="4"/>
        <v>26336.84667</v>
      </c>
      <c r="I19" s="30">
        <f t="shared" si="9"/>
        <v>1519.163333</v>
      </c>
      <c r="J19" s="30">
        <f t="shared" si="5"/>
        <v>24142.33656</v>
      </c>
      <c r="K19" s="30">
        <f t="shared" si="10"/>
        <v>1496.30076</v>
      </c>
      <c r="L19" s="30">
        <f t="shared" si="6"/>
        <v>16094.89104</v>
      </c>
      <c r="M19" s="30">
        <f t="shared" si="11"/>
        <v>997.53384</v>
      </c>
      <c r="N19" s="30">
        <f t="shared" si="7"/>
        <v>-49760.68504</v>
      </c>
      <c r="O19" s="30">
        <f t="shared" si="12"/>
        <v>1938992.752</v>
      </c>
      <c r="P19" s="47">
        <f t="shared" si="8"/>
        <v>1889232.067</v>
      </c>
      <c r="Q19" s="30">
        <f t="shared" si="13"/>
        <v>1889232.067</v>
      </c>
      <c r="R19" s="30">
        <f t="shared" si="14"/>
        <v>-443883.6413</v>
      </c>
      <c r="S19" s="28">
        <f t="shared" si="15"/>
        <v>0</v>
      </c>
    </row>
    <row r="20">
      <c r="A20" s="28">
        <v>9.0</v>
      </c>
      <c r="B20" s="28">
        <f t="shared" si="1"/>
        <v>1</v>
      </c>
      <c r="C20" s="28">
        <f t="shared" si="2"/>
        <v>9</v>
      </c>
      <c r="D20" s="38">
        <f t="array" ref="D20">IF(B20=1,INDEX(CALC_MONTHLY!$B$66:$M$66,C20),INDEX(CALC_PL!$B$19:$F$19,B20)/12)</f>
        <v>31174.241</v>
      </c>
      <c r="E20" s="38">
        <f t="array" ref="E20">IF(B20=1,INDEX(CALC_MONTHLY!$B$7:$M$7,C20)*CALC_PL!$B$11+INDEX(CALC_MONTHLY!$B$8:$M$8,C20)*CALC_PL!$B$12,INDEX(CALC_PL!$B$24:$F$24,B20)/12)</f>
        <v>16033.73448</v>
      </c>
      <c r="F20" s="38">
        <f t="array" ref="F20">INDEX(CALC_PL!$B$40:$F$40,B20)/12</f>
        <v>63252.07974</v>
      </c>
      <c r="G20" s="30">
        <f t="shared" si="3"/>
        <v>-48111.57322</v>
      </c>
      <c r="H20" s="30">
        <f t="shared" si="4"/>
        <v>25978.53417</v>
      </c>
      <c r="I20" s="30">
        <f t="shared" si="9"/>
        <v>-358.3125</v>
      </c>
      <c r="J20" s="30">
        <f t="shared" si="5"/>
        <v>24050.60172</v>
      </c>
      <c r="K20" s="30">
        <f t="shared" si="10"/>
        <v>-91.73484</v>
      </c>
      <c r="L20" s="30">
        <f t="shared" si="6"/>
        <v>16033.73448</v>
      </c>
      <c r="M20" s="30">
        <f t="shared" si="11"/>
        <v>-61.15656</v>
      </c>
      <c r="N20" s="30">
        <f t="shared" si="7"/>
        <v>-47722.68244</v>
      </c>
      <c r="O20" s="30">
        <f t="shared" si="12"/>
        <v>1889232.067</v>
      </c>
      <c r="P20" s="47">
        <f t="shared" si="8"/>
        <v>1841509.384</v>
      </c>
      <c r="Q20" s="30">
        <f t="shared" si="13"/>
        <v>1841509.384</v>
      </c>
      <c r="R20" s="30">
        <f t="shared" si="14"/>
        <v>-491995.2145</v>
      </c>
      <c r="S20" s="28">
        <f t="shared" si="15"/>
        <v>0</v>
      </c>
    </row>
    <row r="21" ht="15.75" customHeight="1">
      <c r="A21" s="28">
        <v>10.0</v>
      </c>
      <c r="B21" s="28">
        <f t="shared" si="1"/>
        <v>1</v>
      </c>
      <c r="C21" s="28">
        <f t="shared" si="2"/>
        <v>10</v>
      </c>
      <c r="D21" s="38">
        <f t="array" ref="D21">IF(B21=1,INDEX(CALC_MONTHLY!$B$66:$M$66,C21),INDEX(CALC_PL!$B$19:$F$19,B21)/12)</f>
        <v>31410.715</v>
      </c>
      <c r="E21" s="38">
        <f t="array" ref="E21">IF(B21=1,INDEX(CALC_MONTHLY!$B$7:$M$7,C21)*CALC_PL!$B$11+INDEX(CALC_MONTHLY!$B$8:$M$8,C21)*CALC_PL!$B$12,INDEX(CALC_PL!$B$24:$F$24,B21)/12)</f>
        <v>16457.90988</v>
      </c>
      <c r="F21" s="38">
        <f t="array" ref="F21">INDEX(CALC_PL!$B$40:$F$40,B21)/12</f>
        <v>63252.07974</v>
      </c>
      <c r="G21" s="30">
        <f t="shared" si="3"/>
        <v>-48299.27462</v>
      </c>
      <c r="H21" s="30">
        <f t="shared" si="4"/>
        <v>26175.59583</v>
      </c>
      <c r="I21" s="30">
        <f t="shared" si="9"/>
        <v>197.0616667</v>
      </c>
      <c r="J21" s="30">
        <f t="shared" si="5"/>
        <v>24686.86482</v>
      </c>
      <c r="K21" s="30">
        <f t="shared" si="10"/>
        <v>636.2631</v>
      </c>
      <c r="L21" s="30">
        <f t="shared" si="6"/>
        <v>16457.90988</v>
      </c>
      <c r="M21" s="30">
        <f t="shared" si="11"/>
        <v>424.1754</v>
      </c>
      <c r="N21" s="30">
        <f t="shared" si="7"/>
        <v>-48708.42399</v>
      </c>
      <c r="O21" s="30">
        <f t="shared" si="12"/>
        <v>1841509.384</v>
      </c>
      <c r="P21" s="47">
        <f t="shared" si="8"/>
        <v>1792800.96</v>
      </c>
      <c r="Q21" s="30">
        <f t="shared" si="13"/>
        <v>1792800.96</v>
      </c>
      <c r="R21" s="30">
        <f t="shared" si="14"/>
        <v>-540294.4891</v>
      </c>
      <c r="S21" s="28">
        <f t="shared" si="15"/>
        <v>0</v>
      </c>
    </row>
    <row r="22" ht="15.75" customHeight="1">
      <c r="A22" s="28">
        <v>11.0</v>
      </c>
      <c r="B22" s="28">
        <f t="shared" si="1"/>
        <v>1</v>
      </c>
      <c r="C22" s="28">
        <f t="shared" si="2"/>
        <v>11</v>
      </c>
      <c r="D22" s="38">
        <f t="array" ref="D22">IF(B22=1,INDEX(CALC_MONTHLY!$B$66:$M$66,C22),INDEX(CALC_PL!$B$19:$F$19,B22)/12)</f>
        <v>33863.116</v>
      </c>
      <c r="E22" s="38">
        <f t="array" ref="E22">IF(B22=1,INDEX(CALC_MONTHLY!$B$7:$M$7,C22)*CALC_PL!$B$11+INDEX(CALC_MONTHLY!$B$8:$M$8,C22)*CALC_PL!$B$12,INDEX(CALC_PL!$B$24:$F$24,B22)/12)</f>
        <v>17963.63344</v>
      </c>
      <c r="F22" s="38">
        <f t="array" ref="F22">INDEX(CALC_PL!$B$40:$F$40,B22)/12</f>
        <v>63252.07974</v>
      </c>
      <c r="G22" s="30">
        <f t="shared" si="3"/>
        <v>-47352.59718</v>
      </c>
      <c r="H22" s="30">
        <f t="shared" si="4"/>
        <v>28219.26333</v>
      </c>
      <c r="I22" s="30">
        <f t="shared" si="9"/>
        <v>2043.6675</v>
      </c>
      <c r="J22" s="30">
        <f t="shared" si="5"/>
        <v>26945.45016</v>
      </c>
      <c r="K22" s="30">
        <f t="shared" si="10"/>
        <v>2258.58534</v>
      </c>
      <c r="L22" s="30">
        <f t="shared" si="6"/>
        <v>17963.63344</v>
      </c>
      <c r="M22" s="30">
        <f t="shared" si="11"/>
        <v>1505.72356</v>
      </c>
      <c r="N22" s="30">
        <f t="shared" si="7"/>
        <v>-50149.12646</v>
      </c>
      <c r="O22" s="30">
        <f t="shared" si="12"/>
        <v>1792800.96</v>
      </c>
      <c r="P22" s="47">
        <f t="shared" si="8"/>
        <v>1742651.834</v>
      </c>
      <c r="Q22" s="30">
        <f t="shared" si="13"/>
        <v>1742651.834</v>
      </c>
      <c r="R22" s="30">
        <f t="shared" si="14"/>
        <v>-587647.0863</v>
      </c>
      <c r="S22" s="28">
        <f t="shared" si="15"/>
        <v>0</v>
      </c>
    </row>
    <row r="23" ht="15.75" customHeight="1">
      <c r="A23" s="50">
        <v>12.0</v>
      </c>
      <c r="B23" s="50">
        <f t="shared" si="1"/>
        <v>1</v>
      </c>
      <c r="C23" s="50">
        <f t="shared" si="2"/>
        <v>12</v>
      </c>
      <c r="D23" s="51">
        <f t="array" ref="D23">IF(B23=1,INDEX(CALC_MONTHLY!$B$66:$M$66,C23),INDEX(CALC_PL!$B$19:$F$19,B23)/12)</f>
        <v>35897.4</v>
      </c>
      <c r="E23" s="51">
        <f t="array" ref="E23">IF(B23=1,INDEX(CALC_MONTHLY!$B$7:$M$7,C23)*CALC_PL!$B$11+INDEX(CALC_MONTHLY!$B$8:$M$8,C23)*CALC_PL!$B$12,INDEX(CALC_PL!$B$24:$F$24,B23)/12)</f>
        <v>19035.10538</v>
      </c>
      <c r="F23" s="51">
        <f t="array" ref="F23">INDEX(CALC_PL!$B$40:$F$40,B23)/12</f>
        <v>63252.07974</v>
      </c>
      <c r="G23" s="52">
        <f t="shared" si="3"/>
        <v>-46389.78512</v>
      </c>
      <c r="H23" s="52">
        <f t="shared" si="4"/>
        <v>29914.5</v>
      </c>
      <c r="I23" s="52">
        <f t="shared" si="9"/>
        <v>1695.236667</v>
      </c>
      <c r="J23" s="52">
        <f t="shared" si="5"/>
        <v>28552.65807</v>
      </c>
      <c r="K23" s="52">
        <f t="shared" si="10"/>
        <v>1607.20791</v>
      </c>
      <c r="L23" s="52">
        <f t="shared" si="6"/>
        <v>19035.10538</v>
      </c>
      <c r="M23" s="52">
        <f t="shared" si="11"/>
        <v>1071.47194</v>
      </c>
      <c r="N23" s="52">
        <f t="shared" si="7"/>
        <v>-48620.75776</v>
      </c>
      <c r="O23" s="52">
        <f t="shared" si="12"/>
        <v>1742651.834</v>
      </c>
      <c r="P23" s="48">
        <f t="shared" si="8"/>
        <v>1694031.076</v>
      </c>
      <c r="Q23" s="52">
        <f t="shared" si="13"/>
        <v>1694031.076</v>
      </c>
      <c r="R23" s="52">
        <f t="shared" si="14"/>
        <v>-634036.8714</v>
      </c>
      <c r="S23" s="50">
        <f t="shared" si="15"/>
        <v>0</v>
      </c>
    </row>
    <row r="24" ht="15.75" customHeight="1">
      <c r="A24" s="28">
        <v>13.0</v>
      </c>
      <c r="B24" s="28">
        <f t="shared" si="1"/>
        <v>2</v>
      </c>
      <c r="C24" s="28">
        <f t="shared" si="2"/>
        <v>1</v>
      </c>
      <c r="D24" s="38">
        <f t="array" ref="D24">IF(B24=1,INDEX(CALC_MONTHLY!$B$66:$M$66,C24),INDEX(CALC_PL!$B$19:$F$19,B24)/12)</f>
        <v>103994.8161</v>
      </c>
      <c r="E24" s="38">
        <f t="array" ref="E24">IF(B24=1,INDEX(CALC_MONTHLY!$B$7:$M$7,C24)*CALC_PL!$B$11+INDEX(CALC_MONTHLY!$B$8:$M$8,C24)*CALC_PL!$B$12,INDEX(CALC_PL!$B$24:$F$24,B24)/12)</f>
        <v>42855.95142</v>
      </c>
      <c r="F24" s="38">
        <f t="array" ref="F24">INDEX(CALC_PL!$B$40:$F$40,B24)/12</f>
        <v>126463.5854</v>
      </c>
      <c r="G24" s="30">
        <f t="shared" si="3"/>
        <v>-65324.72071</v>
      </c>
      <c r="H24" s="30">
        <f t="shared" si="4"/>
        <v>86662.34676</v>
      </c>
      <c r="I24" s="30">
        <f t="shared" si="9"/>
        <v>56747.84676</v>
      </c>
      <c r="J24" s="30">
        <f t="shared" si="5"/>
        <v>64283.92714</v>
      </c>
      <c r="K24" s="30">
        <f t="shared" si="10"/>
        <v>35731.26907</v>
      </c>
      <c r="L24" s="30">
        <f t="shared" si="6"/>
        <v>42855.95142</v>
      </c>
      <c r="M24" s="30">
        <f t="shared" si="11"/>
        <v>23820.84604</v>
      </c>
      <c r="N24" s="30">
        <f t="shared" si="7"/>
        <v>-133982.9905</v>
      </c>
      <c r="O24" s="30">
        <f t="shared" si="12"/>
        <v>1694031.076</v>
      </c>
      <c r="P24" s="47">
        <f t="shared" si="8"/>
        <v>1560048.085</v>
      </c>
      <c r="Q24" s="30">
        <f t="shared" si="13"/>
        <v>1560048.085</v>
      </c>
      <c r="R24" s="30">
        <f t="shared" si="14"/>
        <v>-699361.5921</v>
      </c>
      <c r="S24" s="28">
        <f t="shared" si="15"/>
        <v>0</v>
      </c>
    </row>
    <row r="25" ht="15.75" customHeight="1">
      <c r="A25" s="28">
        <v>14.0</v>
      </c>
      <c r="B25" s="28">
        <f t="shared" si="1"/>
        <v>2</v>
      </c>
      <c r="C25" s="28">
        <f t="shared" si="2"/>
        <v>2</v>
      </c>
      <c r="D25" s="38">
        <f t="array" ref="D25">IF(B25=1,INDEX(CALC_MONTHLY!$B$66:$M$66,C25),INDEX(CALC_PL!$B$19:$F$19,B25)/12)</f>
        <v>103994.8161</v>
      </c>
      <c r="E25" s="38">
        <f t="array" ref="E25">IF(B25=1,INDEX(CALC_MONTHLY!$B$7:$M$7,C25)*CALC_PL!$B$11+INDEX(CALC_MONTHLY!$B$8:$M$8,C25)*CALC_PL!$B$12,INDEX(CALC_PL!$B$24:$F$24,B25)/12)</f>
        <v>42855.95142</v>
      </c>
      <c r="F25" s="38">
        <f t="array" ref="F25">INDEX(CALC_PL!$B$40:$F$40,B25)/12</f>
        <v>126463.5854</v>
      </c>
      <c r="G25" s="30">
        <f t="shared" si="3"/>
        <v>-65324.72071</v>
      </c>
      <c r="H25" s="30">
        <f t="shared" si="4"/>
        <v>86662.34676</v>
      </c>
      <c r="I25" s="30">
        <f t="shared" si="9"/>
        <v>0</v>
      </c>
      <c r="J25" s="30">
        <f t="shared" si="5"/>
        <v>64283.92714</v>
      </c>
      <c r="K25" s="30">
        <f t="shared" si="10"/>
        <v>0</v>
      </c>
      <c r="L25" s="30">
        <f t="shared" si="6"/>
        <v>42855.95142</v>
      </c>
      <c r="M25" s="30">
        <f t="shared" si="11"/>
        <v>0</v>
      </c>
      <c r="N25" s="30">
        <f t="shared" si="7"/>
        <v>-65324.72071</v>
      </c>
      <c r="O25" s="30">
        <f t="shared" si="12"/>
        <v>1560048.085</v>
      </c>
      <c r="P25" s="47">
        <f t="shared" si="8"/>
        <v>1494723.365</v>
      </c>
      <c r="Q25" s="30">
        <f t="shared" si="13"/>
        <v>1494723.365</v>
      </c>
      <c r="R25" s="30">
        <f t="shared" si="14"/>
        <v>-764686.3128</v>
      </c>
      <c r="S25" s="28">
        <f t="shared" si="15"/>
        <v>0</v>
      </c>
    </row>
    <row r="26" ht="15.75" customHeight="1">
      <c r="A26" s="28">
        <v>15.0</v>
      </c>
      <c r="B26" s="28">
        <f t="shared" si="1"/>
        <v>2</v>
      </c>
      <c r="C26" s="28">
        <f t="shared" si="2"/>
        <v>3</v>
      </c>
      <c r="D26" s="38">
        <f t="array" ref="D26">IF(B26=1,INDEX(CALC_MONTHLY!$B$66:$M$66,C26),INDEX(CALC_PL!$B$19:$F$19,B26)/12)</f>
        <v>103994.8161</v>
      </c>
      <c r="E26" s="38">
        <f t="array" ref="E26">IF(B26=1,INDEX(CALC_MONTHLY!$B$7:$M$7,C26)*CALC_PL!$B$11+INDEX(CALC_MONTHLY!$B$8:$M$8,C26)*CALC_PL!$B$12,INDEX(CALC_PL!$B$24:$F$24,B26)/12)</f>
        <v>42855.95142</v>
      </c>
      <c r="F26" s="38">
        <f t="array" ref="F26">INDEX(CALC_PL!$B$40:$F$40,B26)/12</f>
        <v>126463.5854</v>
      </c>
      <c r="G26" s="30">
        <f t="shared" si="3"/>
        <v>-65324.72071</v>
      </c>
      <c r="H26" s="30">
        <f t="shared" si="4"/>
        <v>86662.34676</v>
      </c>
      <c r="I26" s="30">
        <f t="shared" si="9"/>
        <v>0</v>
      </c>
      <c r="J26" s="30">
        <f t="shared" si="5"/>
        <v>64283.92714</v>
      </c>
      <c r="K26" s="30">
        <f t="shared" si="10"/>
        <v>0</v>
      </c>
      <c r="L26" s="30">
        <f t="shared" si="6"/>
        <v>42855.95142</v>
      </c>
      <c r="M26" s="30">
        <f t="shared" si="11"/>
        <v>0</v>
      </c>
      <c r="N26" s="30">
        <f t="shared" si="7"/>
        <v>-65324.72071</v>
      </c>
      <c r="O26" s="30">
        <f t="shared" si="12"/>
        <v>1494723.365</v>
      </c>
      <c r="P26" s="47">
        <f t="shared" si="8"/>
        <v>1429398.644</v>
      </c>
      <c r="Q26" s="30">
        <f t="shared" si="13"/>
        <v>1429398.644</v>
      </c>
      <c r="R26" s="30">
        <f t="shared" si="14"/>
        <v>-830011.0336</v>
      </c>
      <c r="S26" s="28">
        <f t="shared" si="15"/>
        <v>0</v>
      </c>
    </row>
    <row r="27" ht="15.75" customHeight="1">
      <c r="A27" s="28">
        <v>16.0</v>
      </c>
      <c r="B27" s="28">
        <f t="shared" si="1"/>
        <v>2</v>
      </c>
      <c r="C27" s="28">
        <f t="shared" si="2"/>
        <v>4</v>
      </c>
      <c r="D27" s="38">
        <f t="array" ref="D27">IF(B27=1,INDEX(CALC_MONTHLY!$B$66:$M$66,C27),INDEX(CALC_PL!$B$19:$F$19,B27)/12)</f>
        <v>103994.8161</v>
      </c>
      <c r="E27" s="38">
        <f t="array" ref="E27">IF(B27=1,INDEX(CALC_MONTHLY!$B$7:$M$7,C27)*CALC_PL!$B$11+INDEX(CALC_MONTHLY!$B$8:$M$8,C27)*CALC_PL!$B$12,INDEX(CALC_PL!$B$24:$F$24,B27)/12)</f>
        <v>42855.95142</v>
      </c>
      <c r="F27" s="38">
        <f t="array" ref="F27">INDEX(CALC_PL!$B$40:$F$40,B27)/12</f>
        <v>126463.5854</v>
      </c>
      <c r="G27" s="30">
        <f t="shared" si="3"/>
        <v>-65324.72071</v>
      </c>
      <c r="H27" s="30">
        <f t="shared" si="4"/>
        <v>86662.34676</v>
      </c>
      <c r="I27" s="30">
        <f t="shared" si="9"/>
        <v>0</v>
      </c>
      <c r="J27" s="30">
        <f t="shared" si="5"/>
        <v>64283.92714</v>
      </c>
      <c r="K27" s="30">
        <f t="shared" si="10"/>
        <v>0</v>
      </c>
      <c r="L27" s="30">
        <f t="shared" si="6"/>
        <v>42855.95142</v>
      </c>
      <c r="M27" s="30">
        <f t="shared" si="11"/>
        <v>0</v>
      </c>
      <c r="N27" s="30">
        <f t="shared" si="7"/>
        <v>-65324.72071</v>
      </c>
      <c r="O27" s="30">
        <f t="shared" si="12"/>
        <v>1429398.644</v>
      </c>
      <c r="P27" s="47">
        <f t="shared" si="8"/>
        <v>1364073.923</v>
      </c>
      <c r="Q27" s="30">
        <f t="shared" si="13"/>
        <v>1364073.923</v>
      </c>
      <c r="R27" s="30">
        <f t="shared" si="14"/>
        <v>-895335.7543</v>
      </c>
      <c r="S27" s="28">
        <f t="shared" si="15"/>
        <v>0</v>
      </c>
    </row>
    <row r="28" ht="15.75" customHeight="1">
      <c r="A28" s="28">
        <v>17.0</v>
      </c>
      <c r="B28" s="28">
        <f t="shared" si="1"/>
        <v>2</v>
      </c>
      <c r="C28" s="28">
        <f t="shared" si="2"/>
        <v>5</v>
      </c>
      <c r="D28" s="38">
        <f t="array" ref="D28">IF(B28=1,INDEX(CALC_MONTHLY!$B$66:$M$66,C28),INDEX(CALC_PL!$B$19:$F$19,B28)/12)</f>
        <v>103994.8161</v>
      </c>
      <c r="E28" s="38">
        <f t="array" ref="E28">IF(B28=1,INDEX(CALC_MONTHLY!$B$7:$M$7,C28)*CALC_PL!$B$11+INDEX(CALC_MONTHLY!$B$8:$M$8,C28)*CALC_PL!$B$12,INDEX(CALC_PL!$B$24:$F$24,B28)/12)</f>
        <v>42855.95142</v>
      </c>
      <c r="F28" s="38">
        <f t="array" ref="F28">INDEX(CALC_PL!$B$40:$F$40,B28)/12</f>
        <v>126463.5854</v>
      </c>
      <c r="G28" s="30">
        <f t="shared" si="3"/>
        <v>-65324.72071</v>
      </c>
      <c r="H28" s="30">
        <f t="shared" si="4"/>
        <v>86662.34676</v>
      </c>
      <c r="I28" s="30">
        <f t="shared" si="9"/>
        <v>0</v>
      </c>
      <c r="J28" s="30">
        <f t="shared" si="5"/>
        <v>64283.92714</v>
      </c>
      <c r="K28" s="30">
        <f t="shared" si="10"/>
        <v>0</v>
      </c>
      <c r="L28" s="30">
        <f t="shared" si="6"/>
        <v>42855.95142</v>
      </c>
      <c r="M28" s="30">
        <f t="shared" si="11"/>
        <v>0</v>
      </c>
      <c r="N28" s="30">
        <f t="shared" si="7"/>
        <v>-65324.72071</v>
      </c>
      <c r="O28" s="30">
        <f t="shared" si="12"/>
        <v>1364073.923</v>
      </c>
      <c r="P28" s="47">
        <f t="shared" si="8"/>
        <v>1298749.203</v>
      </c>
      <c r="Q28" s="30">
        <f t="shared" si="13"/>
        <v>1298749.203</v>
      </c>
      <c r="R28" s="30">
        <f t="shared" si="14"/>
        <v>-960660.475</v>
      </c>
      <c r="S28" s="28">
        <f t="shared" si="15"/>
        <v>0</v>
      </c>
    </row>
    <row r="29" ht="15.75" customHeight="1">
      <c r="A29" s="28">
        <v>18.0</v>
      </c>
      <c r="B29" s="28">
        <f t="shared" si="1"/>
        <v>2</v>
      </c>
      <c r="C29" s="28">
        <f t="shared" si="2"/>
        <v>6</v>
      </c>
      <c r="D29" s="38">
        <f t="array" ref="D29">IF(B29=1,INDEX(CALC_MONTHLY!$B$66:$M$66,C29),INDEX(CALC_PL!$B$19:$F$19,B29)/12)</f>
        <v>103994.8161</v>
      </c>
      <c r="E29" s="38">
        <f t="array" ref="E29">IF(B29=1,INDEX(CALC_MONTHLY!$B$7:$M$7,C29)*CALC_PL!$B$11+INDEX(CALC_MONTHLY!$B$8:$M$8,C29)*CALC_PL!$B$12,INDEX(CALC_PL!$B$24:$F$24,B29)/12)</f>
        <v>42855.95142</v>
      </c>
      <c r="F29" s="38">
        <f t="array" ref="F29">INDEX(CALC_PL!$B$40:$F$40,B29)/12</f>
        <v>126463.5854</v>
      </c>
      <c r="G29" s="30">
        <f t="shared" si="3"/>
        <v>-65324.72071</v>
      </c>
      <c r="H29" s="30">
        <f t="shared" si="4"/>
        <v>86662.34676</v>
      </c>
      <c r="I29" s="30">
        <f t="shared" si="9"/>
        <v>0</v>
      </c>
      <c r="J29" s="30">
        <f t="shared" si="5"/>
        <v>64283.92714</v>
      </c>
      <c r="K29" s="30">
        <f t="shared" si="10"/>
        <v>0</v>
      </c>
      <c r="L29" s="30">
        <f t="shared" si="6"/>
        <v>42855.95142</v>
      </c>
      <c r="M29" s="30">
        <f t="shared" si="11"/>
        <v>0</v>
      </c>
      <c r="N29" s="30">
        <f t="shared" si="7"/>
        <v>-65324.72071</v>
      </c>
      <c r="O29" s="30">
        <f t="shared" si="12"/>
        <v>1298749.203</v>
      </c>
      <c r="P29" s="47">
        <f t="shared" si="8"/>
        <v>1233424.482</v>
      </c>
      <c r="Q29" s="30">
        <f t="shared" si="13"/>
        <v>1233424.482</v>
      </c>
      <c r="R29" s="30">
        <f t="shared" si="14"/>
        <v>-1025985.196</v>
      </c>
      <c r="S29" s="28">
        <f t="shared" si="15"/>
        <v>0</v>
      </c>
    </row>
    <row r="30" ht="15.75" customHeight="1">
      <c r="A30" s="28">
        <v>19.0</v>
      </c>
      <c r="B30" s="28">
        <f t="shared" si="1"/>
        <v>2</v>
      </c>
      <c r="C30" s="28">
        <f t="shared" si="2"/>
        <v>7</v>
      </c>
      <c r="D30" s="38">
        <f t="array" ref="D30">IF(B30=1,INDEX(CALC_MONTHLY!$B$66:$M$66,C30),INDEX(CALC_PL!$B$19:$F$19,B30)/12)</f>
        <v>103994.8161</v>
      </c>
      <c r="E30" s="38">
        <f t="array" ref="E30">IF(B30=1,INDEX(CALC_MONTHLY!$B$7:$M$7,C30)*CALC_PL!$B$11+INDEX(CALC_MONTHLY!$B$8:$M$8,C30)*CALC_PL!$B$12,INDEX(CALC_PL!$B$24:$F$24,B30)/12)</f>
        <v>42855.95142</v>
      </c>
      <c r="F30" s="38">
        <f t="array" ref="F30">INDEX(CALC_PL!$B$40:$F$40,B30)/12</f>
        <v>126463.5854</v>
      </c>
      <c r="G30" s="30">
        <f t="shared" si="3"/>
        <v>-65324.72071</v>
      </c>
      <c r="H30" s="30">
        <f t="shared" si="4"/>
        <v>86662.34676</v>
      </c>
      <c r="I30" s="30">
        <f t="shared" si="9"/>
        <v>0</v>
      </c>
      <c r="J30" s="30">
        <f t="shared" si="5"/>
        <v>64283.92714</v>
      </c>
      <c r="K30" s="30">
        <f t="shared" si="10"/>
        <v>0</v>
      </c>
      <c r="L30" s="30">
        <f t="shared" si="6"/>
        <v>42855.95142</v>
      </c>
      <c r="M30" s="30">
        <f t="shared" si="11"/>
        <v>0</v>
      </c>
      <c r="N30" s="30">
        <f t="shared" si="7"/>
        <v>-65324.72071</v>
      </c>
      <c r="O30" s="30">
        <f t="shared" si="12"/>
        <v>1233424.482</v>
      </c>
      <c r="P30" s="47">
        <f t="shared" si="8"/>
        <v>1168099.761</v>
      </c>
      <c r="Q30" s="30">
        <f t="shared" si="13"/>
        <v>1168099.761</v>
      </c>
      <c r="R30" s="30">
        <f t="shared" si="14"/>
        <v>-1091309.916</v>
      </c>
      <c r="S30" s="28">
        <f t="shared" si="15"/>
        <v>0</v>
      </c>
    </row>
    <row r="31" ht="15.75" customHeight="1">
      <c r="A31" s="28">
        <v>20.0</v>
      </c>
      <c r="B31" s="28">
        <f t="shared" si="1"/>
        <v>2</v>
      </c>
      <c r="C31" s="28">
        <f t="shared" si="2"/>
        <v>8</v>
      </c>
      <c r="D31" s="38">
        <f t="array" ref="D31">IF(B31=1,INDEX(CALC_MONTHLY!$B$66:$M$66,C31),INDEX(CALC_PL!$B$19:$F$19,B31)/12)</f>
        <v>103994.8161</v>
      </c>
      <c r="E31" s="38">
        <f t="array" ref="E31">IF(B31=1,INDEX(CALC_MONTHLY!$B$7:$M$7,C31)*CALC_PL!$B$11+INDEX(CALC_MONTHLY!$B$8:$M$8,C31)*CALC_PL!$B$12,INDEX(CALC_PL!$B$24:$F$24,B31)/12)</f>
        <v>42855.95142</v>
      </c>
      <c r="F31" s="38">
        <f t="array" ref="F31">INDEX(CALC_PL!$B$40:$F$40,B31)/12</f>
        <v>126463.5854</v>
      </c>
      <c r="G31" s="30">
        <f t="shared" si="3"/>
        <v>-65324.72071</v>
      </c>
      <c r="H31" s="30">
        <f t="shared" si="4"/>
        <v>86662.34676</v>
      </c>
      <c r="I31" s="30">
        <f t="shared" si="9"/>
        <v>0</v>
      </c>
      <c r="J31" s="30">
        <f t="shared" si="5"/>
        <v>64283.92714</v>
      </c>
      <c r="K31" s="30">
        <f t="shared" si="10"/>
        <v>0</v>
      </c>
      <c r="L31" s="30">
        <f t="shared" si="6"/>
        <v>42855.95142</v>
      </c>
      <c r="M31" s="30">
        <f t="shared" si="11"/>
        <v>0</v>
      </c>
      <c r="N31" s="30">
        <f t="shared" si="7"/>
        <v>-65324.72071</v>
      </c>
      <c r="O31" s="30">
        <f t="shared" si="12"/>
        <v>1168099.761</v>
      </c>
      <c r="P31" s="47">
        <f t="shared" si="8"/>
        <v>1102775.04</v>
      </c>
      <c r="Q31" s="30">
        <f t="shared" si="13"/>
        <v>1102775.04</v>
      </c>
      <c r="R31" s="30">
        <f t="shared" si="14"/>
        <v>-1156634.637</v>
      </c>
      <c r="S31" s="28">
        <f t="shared" si="15"/>
        <v>0</v>
      </c>
    </row>
    <row r="32" ht="15.75" customHeight="1">
      <c r="A32" s="28">
        <v>21.0</v>
      </c>
      <c r="B32" s="28">
        <f t="shared" si="1"/>
        <v>2</v>
      </c>
      <c r="C32" s="28">
        <f t="shared" si="2"/>
        <v>9</v>
      </c>
      <c r="D32" s="38">
        <f t="array" ref="D32">IF(B32=1,INDEX(CALC_MONTHLY!$B$66:$M$66,C32),INDEX(CALC_PL!$B$19:$F$19,B32)/12)</f>
        <v>103994.8161</v>
      </c>
      <c r="E32" s="38">
        <f t="array" ref="E32">IF(B32=1,INDEX(CALC_MONTHLY!$B$7:$M$7,C32)*CALC_PL!$B$11+INDEX(CALC_MONTHLY!$B$8:$M$8,C32)*CALC_PL!$B$12,INDEX(CALC_PL!$B$24:$F$24,B32)/12)</f>
        <v>42855.95142</v>
      </c>
      <c r="F32" s="38">
        <f t="array" ref="F32">INDEX(CALC_PL!$B$40:$F$40,B32)/12</f>
        <v>126463.5854</v>
      </c>
      <c r="G32" s="30">
        <f t="shared" si="3"/>
        <v>-65324.72071</v>
      </c>
      <c r="H32" s="30">
        <f t="shared" si="4"/>
        <v>86662.34676</v>
      </c>
      <c r="I32" s="30">
        <f t="shared" si="9"/>
        <v>0</v>
      </c>
      <c r="J32" s="30">
        <f t="shared" si="5"/>
        <v>64283.92714</v>
      </c>
      <c r="K32" s="30">
        <f t="shared" si="10"/>
        <v>0</v>
      </c>
      <c r="L32" s="30">
        <f t="shared" si="6"/>
        <v>42855.95142</v>
      </c>
      <c r="M32" s="30">
        <f t="shared" si="11"/>
        <v>0</v>
      </c>
      <c r="N32" s="30">
        <f t="shared" si="7"/>
        <v>-65324.72071</v>
      </c>
      <c r="O32" s="30">
        <f t="shared" si="12"/>
        <v>1102775.04</v>
      </c>
      <c r="P32" s="47">
        <f t="shared" si="8"/>
        <v>1037450.32</v>
      </c>
      <c r="Q32" s="30">
        <f t="shared" si="13"/>
        <v>1037450.32</v>
      </c>
      <c r="R32" s="30">
        <f t="shared" si="14"/>
        <v>-1221959.358</v>
      </c>
      <c r="S32" s="28">
        <f t="shared" si="15"/>
        <v>0</v>
      </c>
    </row>
    <row r="33" ht="15.75" customHeight="1">
      <c r="A33" s="28">
        <v>22.0</v>
      </c>
      <c r="B33" s="28">
        <f t="shared" si="1"/>
        <v>2</v>
      </c>
      <c r="C33" s="28">
        <f t="shared" si="2"/>
        <v>10</v>
      </c>
      <c r="D33" s="38">
        <f t="array" ref="D33">IF(B33=1,INDEX(CALC_MONTHLY!$B$66:$M$66,C33),INDEX(CALC_PL!$B$19:$F$19,B33)/12)</f>
        <v>103994.8161</v>
      </c>
      <c r="E33" s="38">
        <f t="array" ref="E33">IF(B33=1,INDEX(CALC_MONTHLY!$B$7:$M$7,C33)*CALC_PL!$B$11+INDEX(CALC_MONTHLY!$B$8:$M$8,C33)*CALC_PL!$B$12,INDEX(CALC_PL!$B$24:$F$24,B33)/12)</f>
        <v>42855.95142</v>
      </c>
      <c r="F33" s="38">
        <f t="array" ref="F33">INDEX(CALC_PL!$B$40:$F$40,B33)/12</f>
        <v>126463.5854</v>
      </c>
      <c r="G33" s="30">
        <f t="shared" si="3"/>
        <v>-65324.72071</v>
      </c>
      <c r="H33" s="30">
        <f t="shared" si="4"/>
        <v>86662.34676</v>
      </c>
      <c r="I33" s="30">
        <f t="shared" si="9"/>
        <v>0</v>
      </c>
      <c r="J33" s="30">
        <f t="shared" si="5"/>
        <v>64283.92714</v>
      </c>
      <c r="K33" s="30">
        <f t="shared" si="10"/>
        <v>0</v>
      </c>
      <c r="L33" s="30">
        <f t="shared" si="6"/>
        <v>42855.95142</v>
      </c>
      <c r="M33" s="30">
        <f t="shared" si="11"/>
        <v>0</v>
      </c>
      <c r="N33" s="30">
        <f t="shared" si="7"/>
        <v>-65324.72071</v>
      </c>
      <c r="O33" s="30">
        <f t="shared" si="12"/>
        <v>1037450.32</v>
      </c>
      <c r="P33" s="47">
        <f t="shared" si="8"/>
        <v>972125.599</v>
      </c>
      <c r="Q33" s="30">
        <f t="shared" si="13"/>
        <v>972125.599</v>
      </c>
      <c r="R33" s="30">
        <f t="shared" si="14"/>
        <v>-1287284.079</v>
      </c>
      <c r="S33" s="28">
        <f t="shared" si="15"/>
        <v>0</v>
      </c>
    </row>
    <row r="34" ht="15.75" customHeight="1">
      <c r="A34" s="28">
        <v>23.0</v>
      </c>
      <c r="B34" s="28">
        <f t="shared" si="1"/>
        <v>2</v>
      </c>
      <c r="C34" s="28">
        <f t="shared" si="2"/>
        <v>11</v>
      </c>
      <c r="D34" s="38">
        <f t="array" ref="D34">IF(B34=1,INDEX(CALC_MONTHLY!$B$66:$M$66,C34),INDEX(CALC_PL!$B$19:$F$19,B34)/12)</f>
        <v>103994.8161</v>
      </c>
      <c r="E34" s="38">
        <f t="array" ref="E34">IF(B34=1,INDEX(CALC_MONTHLY!$B$7:$M$7,C34)*CALC_PL!$B$11+INDEX(CALC_MONTHLY!$B$8:$M$8,C34)*CALC_PL!$B$12,INDEX(CALC_PL!$B$24:$F$24,B34)/12)</f>
        <v>42855.95142</v>
      </c>
      <c r="F34" s="38">
        <f t="array" ref="F34">INDEX(CALC_PL!$B$40:$F$40,B34)/12</f>
        <v>126463.5854</v>
      </c>
      <c r="G34" s="30">
        <f t="shared" si="3"/>
        <v>-65324.72071</v>
      </c>
      <c r="H34" s="30">
        <f t="shared" si="4"/>
        <v>86662.34676</v>
      </c>
      <c r="I34" s="30">
        <f t="shared" si="9"/>
        <v>0</v>
      </c>
      <c r="J34" s="30">
        <f t="shared" si="5"/>
        <v>64283.92714</v>
      </c>
      <c r="K34" s="30">
        <f t="shared" si="10"/>
        <v>0</v>
      </c>
      <c r="L34" s="30">
        <f t="shared" si="6"/>
        <v>42855.95142</v>
      </c>
      <c r="M34" s="30">
        <f t="shared" si="11"/>
        <v>0</v>
      </c>
      <c r="N34" s="30">
        <f t="shared" si="7"/>
        <v>-65324.72071</v>
      </c>
      <c r="O34" s="30">
        <f t="shared" si="12"/>
        <v>972125.599</v>
      </c>
      <c r="P34" s="47">
        <f t="shared" si="8"/>
        <v>906800.8783</v>
      </c>
      <c r="Q34" s="30">
        <f t="shared" si="13"/>
        <v>906800.8783</v>
      </c>
      <c r="R34" s="30">
        <f t="shared" si="14"/>
        <v>-1352608.799</v>
      </c>
      <c r="S34" s="28">
        <f t="shared" si="15"/>
        <v>0</v>
      </c>
    </row>
    <row r="35" ht="15.75" customHeight="1">
      <c r="A35" s="50">
        <v>24.0</v>
      </c>
      <c r="B35" s="50">
        <f t="shared" si="1"/>
        <v>2</v>
      </c>
      <c r="C35" s="50">
        <f t="shared" si="2"/>
        <v>12</v>
      </c>
      <c r="D35" s="51">
        <f t="array" ref="D35">IF(B35=1,INDEX(CALC_MONTHLY!$B$66:$M$66,C35),INDEX(CALC_PL!$B$19:$F$19,B35)/12)</f>
        <v>103994.8161</v>
      </c>
      <c r="E35" s="51">
        <f t="array" ref="E35">IF(B35=1,INDEX(CALC_MONTHLY!$B$7:$M$7,C35)*CALC_PL!$B$11+INDEX(CALC_MONTHLY!$B$8:$M$8,C35)*CALC_PL!$B$12,INDEX(CALC_PL!$B$24:$F$24,B35)/12)</f>
        <v>42855.95142</v>
      </c>
      <c r="F35" s="51">
        <f t="array" ref="F35">INDEX(CALC_PL!$B$40:$F$40,B35)/12</f>
        <v>126463.5854</v>
      </c>
      <c r="G35" s="52">
        <f t="shared" si="3"/>
        <v>-65324.72071</v>
      </c>
      <c r="H35" s="52">
        <f t="shared" si="4"/>
        <v>86662.34676</v>
      </c>
      <c r="I35" s="52">
        <f t="shared" si="9"/>
        <v>0</v>
      </c>
      <c r="J35" s="52">
        <f t="shared" si="5"/>
        <v>64283.92714</v>
      </c>
      <c r="K35" s="52">
        <f t="shared" si="10"/>
        <v>0</v>
      </c>
      <c r="L35" s="52">
        <f t="shared" si="6"/>
        <v>42855.95142</v>
      </c>
      <c r="M35" s="52">
        <f t="shared" si="11"/>
        <v>0</v>
      </c>
      <c r="N35" s="52">
        <f t="shared" si="7"/>
        <v>-65324.72071</v>
      </c>
      <c r="O35" s="52">
        <f t="shared" si="12"/>
        <v>906800.8783</v>
      </c>
      <c r="P35" s="48">
        <f t="shared" si="8"/>
        <v>841476.1575</v>
      </c>
      <c r="Q35" s="52">
        <f t="shared" si="13"/>
        <v>841476.1575</v>
      </c>
      <c r="R35" s="52">
        <f t="shared" si="14"/>
        <v>-1417933.52</v>
      </c>
      <c r="S35" s="50">
        <f t="shared" si="15"/>
        <v>0</v>
      </c>
    </row>
    <row r="36" ht="15.75" customHeight="1">
      <c r="A36" s="28">
        <v>25.0</v>
      </c>
      <c r="B36" s="28">
        <f t="shared" si="1"/>
        <v>3</v>
      </c>
      <c r="C36" s="28">
        <f t="shared" si="2"/>
        <v>1</v>
      </c>
      <c r="D36" s="38">
        <f t="array" ref="D36">IF(B36=1,INDEX(CALC_MONTHLY!$B$66:$M$66,C36),INDEX(CALC_PL!$B$19:$F$19,B36)/12)</f>
        <v>374655.9388</v>
      </c>
      <c r="E36" s="38">
        <f t="array" ref="E36">IF(B36=1,INDEX(CALC_MONTHLY!$B$7:$M$7,C36)*CALC_PL!$B$11+INDEX(CALC_MONTHLY!$B$8:$M$8,C36)*CALC_PL!$B$12,INDEX(CALC_PL!$B$24:$F$24,B36)/12)</f>
        <v>119546.6053</v>
      </c>
      <c r="F36" s="38">
        <f t="array" ref="F36">INDEX(CALC_PL!$B$40:$F$40,B36)/12</f>
        <v>205166.5264</v>
      </c>
      <c r="G36" s="30">
        <f t="shared" si="3"/>
        <v>49942.80699</v>
      </c>
      <c r="H36" s="30">
        <f t="shared" si="4"/>
        <v>312213.2823</v>
      </c>
      <c r="I36" s="30">
        <f t="shared" si="9"/>
        <v>225550.9355</v>
      </c>
      <c r="J36" s="30">
        <f t="shared" si="5"/>
        <v>179319.908</v>
      </c>
      <c r="K36" s="30">
        <f t="shared" si="10"/>
        <v>115035.9809</v>
      </c>
      <c r="L36" s="30">
        <f t="shared" si="6"/>
        <v>119546.6053</v>
      </c>
      <c r="M36" s="30">
        <f t="shared" si="11"/>
        <v>76690.65392</v>
      </c>
      <c r="N36" s="30">
        <f t="shared" si="7"/>
        <v>-213953.4555</v>
      </c>
      <c r="O36" s="30">
        <f t="shared" si="12"/>
        <v>841476.1575</v>
      </c>
      <c r="P36" s="47">
        <f t="shared" si="8"/>
        <v>627522.7021</v>
      </c>
      <c r="Q36" s="30">
        <f t="shared" si="13"/>
        <v>627522.7021</v>
      </c>
      <c r="R36" s="30">
        <f t="shared" si="14"/>
        <v>-1367990.713</v>
      </c>
      <c r="S36" s="28">
        <f t="shared" si="15"/>
        <v>0</v>
      </c>
    </row>
    <row r="37" ht="15.75" customHeight="1">
      <c r="A37" s="28">
        <v>26.0</v>
      </c>
      <c r="B37" s="28">
        <f t="shared" si="1"/>
        <v>3</v>
      </c>
      <c r="C37" s="28">
        <f t="shared" si="2"/>
        <v>2</v>
      </c>
      <c r="D37" s="38">
        <f t="array" ref="D37">IF(B37=1,INDEX(CALC_MONTHLY!$B$66:$M$66,C37),INDEX(CALC_PL!$B$19:$F$19,B37)/12)</f>
        <v>374655.9388</v>
      </c>
      <c r="E37" s="38">
        <f t="array" ref="E37">IF(B37=1,INDEX(CALC_MONTHLY!$B$7:$M$7,C37)*CALC_PL!$B$11+INDEX(CALC_MONTHLY!$B$8:$M$8,C37)*CALC_PL!$B$12,INDEX(CALC_PL!$B$24:$F$24,B37)/12)</f>
        <v>119546.6053</v>
      </c>
      <c r="F37" s="38">
        <f t="array" ref="F37">INDEX(CALC_PL!$B$40:$F$40,B37)/12</f>
        <v>205166.5264</v>
      </c>
      <c r="G37" s="30">
        <f t="shared" si="3"/>
        <v>49942.80699</v>
      </c>
      <c r="H37" s="30">
        <f t="shared" si="4"/>
        <v>312213.2823</v>
      </c>
      <c r="I37" s="30">
        <f t="shared" si="9"/>
        <v>0</v>
      </c>
      <c r="J37" s="30">
        <f t="shared" si="5"/>
        <v>179319.908</v>
      </c>
      <c r="K37" s="30">
        <f t="shared" si="10"/>
        <v>0</v>
      </c>
      <c r="L37" s="30">
        <f t="shared" si="6"/>
        <v>119546.6053</v>
      </c>
      <c r="M37" s="30">
        <f t="shared" si="11"/>
        <v>0</v>
      </c>
      <c r="N37" s="30">
        <f t="shared" si="7"/>
        <v>49942.80699</v>
      </c>
      <c r="O37" s="30">
        <f t="shared" si="12"/>
        <v>627522.7021</v>
      </c>
      <c r="P37" s="47">
        <f t="shared" si="8"/>
        <v>677465.509</v>
      </c>
      <c r="Q37" s="30">
        <f t="shared" si="13"/>
        <v>627522.7021</v>
      </c>
      <c r="R37" s="30">
        <f t="shared" si="14"/>
        <v>-1318047.906</v>
      </c>
      <c r="S37" s="28">
        <f t="shared" si="15"/>
        <v>0</v>
      </c>
    </row>
    <row r="38" ht="15.75" customHeight="1">
      <c r="A38" s="28">
        <v>27.0</v>
      </c>
      <c r="B38" s="28">
        <f t="shared" si="1"/>
        <v>3</v>
      </c>
      <c r="C38" s="28">
        <f t="shared" si="2"/>
        <v>3</v>
      </c>
      <c r="D38" s="38">
        <f t="array" ref="D38">IF(B38=1,INDEX(CALC_MONTHLY!$B$66:$M$66,C38),INDEX(CALC_PL!$B$19:$F$19,B38)/12)</f>
        <v>374655.9388</v>
      </c>
      <c r="E38" s="38">
        <f t="array" ref="E38">IF(B38=1,INDEX(CALC_MONTHLY!$B$7:$M$7,C38)*CALC_PL!$B$11+INDEX(CALC_MONTHLY!$B$8:$M$8,C38)*CALC_PL!$B$12,INDEX(CALC_PL!$B$24:$F$24,B38)/12)</f>
        <v>119546.6053</v>
      </c>
      <c r="F38" s="38">
        <f t="array" ref="F38">INDEX(CALC_PL!$B$40:$F$40,B38)/12</f>
        <v>205166.5264</v>
      </c>
      <c r="G38" s="30">
        <f t="shared" si="3"/>
        <v>49942.80699</v>
      </c>
      <c r="H38" s="30">
        <f t="shared" si="4"/>
        <v>312213.2823</v>
      </c>
      <c r="I38" s="30">
        <f t="shared" si="9"/>
        <v>0</v>
      </c>
      <c r="J38" s="30">
        <f t="shared" si="5"/>
        <v>179319.908</v>
      </c>
      <c r="K38" s="30">
        <f t="shared" si="10"/>
        <v>0</v>
      </c>
      <c r="L38" s="30">
        <f t="shared" si="6"/>
        <v>119546.6053</v>
      </c>
      <c r="M38" s="30">
        <f t="shared" si="11"/>
        <v>0</v>
      </c>
      <c r="N38" s="30">
        <f t="shared" si="7"/>
        <v>49942.80699</v>
      </c>
      <c r="O38" s="30">
        <f t="shared" si="12"/>
        <v>677465.509</v>
      </c>
      <c r="P38" s="47">
        <f t="shared" si="8"/>
        <v>727408.316</v>
      </c>
      <c r="Q38" s="30">
        <f t="shared" si="13"/>
        <v>627522.7021</v>
      </c>
      <c r="R38" s="30">
        <f t="shared" si="14"/>
        <v>-1268105.099</v>
      </c>
      <c r="S38" s="28">
        <f t="shared" si="15"/>
        <v>0</v>
      </c>
    </row>
    <row r="39" ht="15.75" customHeight="1">
      <c r="A39" s="28">
        <v>28.0</v>
      </c>
      <c r="B39" s="28">
        <f t="shared" si="1"/>
        <v>3</v>
      </c>
      <c r="C39" s="28">
        <f t="shared" si="2"/>
        <v>4</v>
      </c>
      <c r="D39" s="38">
        <f t="array" ref="D39">IF(B39=1,INDEX(CALC_MONTHLY!$B$66:$M$66,C39),INDEX(CALC_PL!$B$19:$F$19,B39)/12)</f>
        <v>374655.9388</v>
      </c>
      <c r="E39" s="38">
        <f t="array" ref="E39">IF(B39=1,INDEX(CALC_MONTHLY!$B$7:$M$7,C39)*CALC_PL!$B$11+INDEX(CALC_MONTHLY!$B$8:$M$8,C39)*CALC_PL!$B$12,INDEX(CALC_PL!$B$24:$F$24,B39)/12)</f>
        <v>119546.6053</v>
      </c>
      <c r="F39" s="38">
        <f t="array" ref="F39">INDEX(CALC_PL!$B$40:$F$40,B39)/12</f>
        <v>205166.5264</v>
      </c>
      <c r="G39" s="30">
        <f t="shared" si="3"/>
        <v>49942.80699</v>
      </c>
      <c r="H39" s="30">
        <f t="shared" si="4"/>
        <v>312213.2823</v>
      </c>
      <c r="I39" s="30">
        <f t="shared" si="9"/>
        <v>0</v>
      </c>
      <c r="J39" s="30">
        <f t="shared" si="5"/>
        <v>179319.908</v>
      </c>
      <c r="K39" s="30">
        <f t="shared" si="10"/>
        <v>0</v>
      </c>
      <c r="L39" s="30">
        <f t="shared" si="6"/>
        <v>119546.6053</v>
      </c>
      <c r="M39" s="30">
        <f t="shared" si="11"/>
        <v>0</v>
      </c>
      <c r="N39" s="30">
        <f t="shared" si="7"/>
        <v>49942.80699</v>
      </c>
      <c r="O39" s="30">
        <f t="shared" si="12"/>
        <v>727408.316</v>
      </c>
      <c r="P39" s="47">
        <f t="shared" si="8"/>
        <v>777351.123</v>
      </c>
      <c r="Q39" s="30">
        <f t="shared" si="13"/>
        <v>627522.7021</v>
      </c>
      <c r="R39" s="30">
        <f t="shared" si="14"/>
        <v>-1218162.292</v>
      </c>
      <c r="S39" s="28">
        <f t="shared" si="15"/>
        <v>0</v>
      </c>
    </row>
    <row r="40" ht="15.75" customHeight="1">
      <c r="A40" s="28">
        <v>29.0</v>
      </c>
      <c r="B40" s="28">
        <f t="shared" si="1"/>
        <v>3</v>
      </c>
      <c r="C40" s="28">
        <f t="shared" si="2"/>
        <v>5</v>
      </c>
      <c r="D40" s="38">
        <f t="array" ref="D40">IF(B40=1,INDEX(CALC_MONTHLY!$B$66:$M$66,C40),INDEX(CALC_PL!$B$19:$F$19,B40)/12)</f>
        <v>374655.9388</v>
      </c>
      <c r="E40" s="38">
        <f t="array" ref="E40">IF(B40=1,INDEX(CALC_MONTHLY!$B$7:$M$7,C40)*CALC_PL!$B$11+INDEX(CALC_MONTHLY!$B$8:$M$8,C40)*CALC_PL!$B$12,INDEX(CALC_PL!$B$24:$F$24,B40)/12)</f>
        <v>119546.6053</v>
      </c>
      <c r="F40" s="38">
        <f t="array" ref="F40">INDEX(CALC_PL!$B$40:$F$40,B40)/12</f>
        <v>205166.5264</v>
      </c>
      <c r="G40" s="30">
        <f t="shared" si="3"/>
        <v>49942.80699</v>
      </c>
      <c r="H40" s="30">
        <f t="shared" si="4"/>
        <v>312213.2823</v>
      </c>
      <c r="I40" s="30">
        <f t="shared" si="9"/>
        <v>0</v>
      </c>
      <c r="J40" s="30">
        <f t="shared" si="5"/>
        <v>179319.908</v>
      </c>
      <c r="K40" s="30">
        <f t="shared" si="10"/>
        <v>0</v>
      </c>
      <c r="L40" s="30">
        <f t="shared" si="6"/>
        <v>119546.6053</v>
      </c>
      <c r="M40" s="30">
        <f t="shared" si="11"/>
        <v>0</v>
      </c>
      <c r="N40" s="30">
        <f t="shared" si="7"/>
        <v>49942.80699</v>
      </c>
      <c r="O40" s="30">
        <f t="shared" si="12"/>
        <v>777351.123</v>
      </c>
      <c r="P40" s="47">
        <f t="shared" si="8"/>
        <v>827293.93</v>
      </c>
      <c r="Q40" s="30">
        <f t="shared" si="13"/>
        <v>627522.7021</v>
      </c>
      <c r="R40" s="30">
        <f t="shared" si="14"/>
        <v>-1168219.485</v>
      </c>
      <c r="S40" s="28">
        <f t="shared" si="15"/>
        <v>0</v>
      </c>
    </row>
    <row r="41" ht="15.75" customHeight="1">
      <c r="A41" s="28">
        <v>30.0</v>
      </c>
      <c r="B41" s="28">
        <f t="shared" si="1"/>
        <v>3</v>
      </c>
      <c r="C41" s="28">
        <f t="shared" si="2"/>
        <v>6</v>
      </c>
      <c r="D41" s="38">
        <f t="array" ref="D41">IF(B41=1,INDEX(CALC_MONTHLY!$B$66:$M$66,C41),INDEX(CALC_PL!$B$19:$F$19,B41)/12)</f>
        <v>374655.9388</v>
      </c>
      <c r="E41" s="38">
        <f t="array" ref="E41">IF(B41=1,INDEX(CALC_MONTHLY!$B$7:$M$7,C41)*CALC_PL!$B$11+INDEX(CALC_MONTHLY!$B$8:$M$8,C41)*CALC_PL!$B$12,INDEX(CALC_PL!$B$24:$F$24,B41)/12)</f>
        <v>119546.6053</v>
      </c>
      <c r="F41" s="38">
        <f t="array" ref="F41">INDEX(CALC_PL!$B$40:$F$40,B41)/12</f>
        <v>205166.5264</v>
      </c>
      <c r="G41" s="30">
        <f t="shared" si="3"/>
        <v>49942.80699</v>
      </c>
      <c r="H41" s="30">
        <f t="shared" si="4"/>
        <v>312213.2823</v>
      </c>
      <c r="I41" s="30">
        <f t="shared" si="9"/>
        <v>0</v>
      </c>
      <c r="J41" s="30">
        <f t="shared" si="5"/>
        <v>179319.908</v>
      </c>
      <c r="K41" s="30">
        <f t="shared" si="10"/>
        <v>0</v>
      </c>
      <c r="L41" s="30">
        <f t="shared" si="6"/>
        <v>119546.6053</v>
      </c>
      <c r="M41" s="30">
        <f t="shared" si="11"/>
        <v>0</v>
      </c>
      <c r="N41" s="30">
        <f t="shared" si="7"/>
        <v>49942.80699</v>
      </c>
      <c r="O41" s="30">
        <f t="shared" si="12"/>
        <v>827293.93</v>
      </c>
      <c r="P41" s="47">
        <f t="shared" si="8"/>
        <v>877236.737</v>
      </c>
      <c r="Q41" s="30">
        <f t="shared" si="13"/>
        <v>627522.7021</v>
      </c>
      <c r="R41" s="30">
        <f t="shared" si="14"/>
        <v>-1118276.678</v>
      </c>
      <c r="S41" s="28">
        <f t="shared" si="15"/>
        <v>0</v>
      </c>
    </row>
    <row r="42" ht="15.75" customHeight="1">
      <c r="A42" s="28">
        <v>31.0</v>
      </c>
      <c r="B42" s="28">
        <f t="shared" si="1"/>
        <v>3</v>
      </c>
      <c r="C42" s="28">
        <f t="shared" si="2"/>
        <v>7</v>
      </c>
      <c r="D42" s="38">
        <f t="array" ref="D42">IF(B42=1,INDEX(CALC_MONTHLY!$B$66:$M$66,C42),INDEX(CALC_PL!$B$19:$F$19,B42)/12)</f>
        <v>374655.9388</v>
      </c>
      <c r="E42" s="38">
        <f t="array" ref="E42">IF(B42=1,INDEX(CALC_MONTHLY!$B$7:$M$7,C42)*CALC_PL!$B$11+INDEX(CALC_MONTHLY!$B$8:$M$8,C42)*CALC_PL!$B$12,INDEX(CALC_PL!$B$24:$F$24,B42)/12)</f>
        <v>119546.6053</v>
      </c>
      <c r="F42" s="38">
        <f t="array" ref="F42">INDEX(CALC_PL!$B$40:$F$40,B42)/12</f>
        <v>205166.5264</v>
      </c>
      <c r="G42" s="30">
        <f t="shared" si="3"/>
        <v>49942.80699</v>
      </c>
      <c r="H42" s="30">
        <f t="shared" si="4"/>
        <v>312213.2823</v>
      </c>
      <c r="I42" s="30">
        <f t="shared" si="9"/>
        <v>0</v>
      </c>
      <c r="J42" s="30">
        <f t="shared" si="5"/>
        <v>179319.908</v>
      </c>
      <c r="K42" s="30">
        <f t="shared" si="10"/>
        <v>0</v>
      </c>
      <c r="L42" s="30">
        <f t="shared" si="6"/>
        <v>119546.6053</v>
      </c>
      <c r="M42" s="30">
        <f t="shared" si="11"/>
        <v>0</v>
      </c>
      <c r="N42" s="30">
        <f t="shared" si="7"/>
        <v>49942.80699</v>
      </c>
      <c r="O42" s="30">
        <f t="shared" si="12"/>
        <v>877236.737</v>
      </c>
      <c r="P42" s="47">
        <f t="shared" si="8"/>
        <v>927179.544</v>
      </c>
      <c r="Q42" s="30">
        <f t="shared" si="13"/>
        <v>627522.7021</v>
      </c>
      <c r="R42" s="30">
        <f t="shared" si="14"/>
        <v>-1068333.871</v>
      </c>
      <c r="S42" s="28">
        <f t="shared" si="15"/>
        <v>0</v>
      </c>
    </row>
    <row r="43" ht="15.75" customHeight="1">
      <c r="A43" s="28">
        <v>32.0</v>
      </c>
      <c r="B43" s="28">
        <f t="shared" si="1"/>
        <v>3</v>
      </c>
      <c r="C43" s="28">
        <f t="shared" si="2"/>
        <v>8</v>
      </c>
      <c r="D43" s="38">
        <f t="array" ref="D43">IF(B43=1,INDEX(CALC_MONTHLY!$B$66:$M$66,C43),INDEX(CALC_PL!$B$19:$F$19,B43)/12)</f>
        <v>374655.9388</v>
      </c>
      <c r="E43" s="38">
        <f t="array" ref="E43">IF(B43=1,INDEX(CALC_MONTHLY!$B$7:$M$7,C43)*CALC_PL!$B$11+INDEX(CALC_MONTHLY!$B$8:$M$8,C43)*CALC_PL!$B$12,INDEX(CALC_PL!$B$24:$F$24,B43)/12)</f>
        <v>119546.6053</v>
      </c>
      <c r="F43" s="38">
        <f t="array" ref="F43">INDEX(CALC_PL!$B$40:$F$40,B43)/12</f>
        <v>205166.5264</v>
      </c>
      <c r="G43" s="30">
        <f t="shared" si="3"/>
        <v>49942.80699</v>
      </c>
      <c r="H43" s="30">
        <f t="shared" si="4"/>
        <v>312213.2823</v>
      </c>
      <c r="I43" s="30">
        <f t="shared" si="9"/>
        <v>0</v>
      </c>
      <c r="J43" s="30">
        <f t="shared" si="5"/>
        <v>179319.908</v>
      </c>
      <c r="K43" s="30">
        <f t="shared" si="10"/>
        <v>0</v>
      </c>
      <c r="L43" s="30">
        <f t="shared" si="6"/>
        <v>119546.6053</v>
      </c>
      <c r="M43" s="30">
        <f t="shared" si="11"/>
        <v>0</v>
      </c>
      <c r="N43" s="30">
        <f t="shared" si="7"/>
        <v>49942.80699</v>
      </c>
      <c r="O43" s="30">
        <f t="shared" si="12"/>
        <v>927179.544</v>
      </c>
      <c r="P43" s="47">
        <f t="shared" si="8"/>
        <v>977122.351</v>
      </c>
      <c r="Q43" s="30">
        <f t="shared" si="13"/>
        <v>627522.7021</v>
      </c>
      <c r="R43" s="30">
        <f t="shared" si="14"/>
        <v>-1018391.064</v>
      </c>
      <c r="S43" s="28">
        <f t="shared" si="15"/>
        <v>0</v>
      </c>
    </row>
    <row r="44" ht="15.75" customHeight="1">
      <c r="A44" s="28">
        <v>33.0</v>
      </c>
      <c r="B44" s="28">
        <f t="shared" si="1"/>
        <v>3</v>
      </c>
      <c r="C44" s="28">
        <f t="shared" si="2"/>
        <v>9</v>
      </c>
      <c r="D44" s="38">
        <f t="array" ref="D44">IF(B44=1,INDEX(CALC_MONTHLY!$B$66:$M$66,C44),INDEX(CALC_PL!$B$19:$F$19,B44)/12)</f>
        <v>374655.9388</v>
      </c>
      <c r="E44" s="38">
        <f t="array" ref="E44">IF(B44=1,INDEX(CALC_MONTHLY!$B$7:$M$7,C44)*CALC_PL!$B$11+INDEX(CALC_MONTHLY!$B$8:$M$8,C44)*CALC_PL!$B$12,INDEX(CALC_PL!$B$24:$F$24,B44)/12)</f>
        <v>119546.6053</v>
      </c>
      <c r="F44" s="38">
        <f t="array" ref="F44">INDEX(CALC_PL!$B$40:$F$40,B44)/12</f>
        <v>205166.5264</v>
      </c>
      <c r="G44" s="30">
        <f t="shared" si="3"/>
        <v>49942.80699</v>
      </c>
      <c r="H44" s="30">
        <f t="shared" si="4"/>
        <v>312213.2823</v>
      </c>
      <c r="I44" s="30">
        <f t="shared" si="9"/>
        <v>0</v>
      </c>
      <c r="J44" s="30">
        <f t="shared" si="5"/>
        <v>179319.908</v>
      </c>
      <c r="K44" s="30">
        <f t="shared" si="10"/>
        <v>0</v>
      </c>
      <c r="L44" s="30">
        <f t="shared" si="6"/>
        <v>119546.6053</v>
      </c>
      <c r="M44" s="30">
        <f t="shared" si="11"/>
        <v>0</v>
      </c>
      <c r="N44" s="30">
        <f t="shared" si="7"/>
        <v>49942.80699</v>
      </c>
      <c r="O44" s="30">
        <f t="shared" si="12"/>
        <v>977122.351</v>
      </c>
      <c r="P44" s="47">
        <f t="shared" si="8"/>
        <v>1027065.158</v>
      </c>
      <c r="Q44" s="30">
        <f t="shared" si="13"/>
        <v>627522.7021</v>
      </c>
      <c r="R44" s="30">
        <f t="shared" si="14"/>
        <v>-968448.257</v>
      </c>
      <c r="S44" s="28">
        <f t="shared" si="15"/>
        <v>0</v>
      </c>
    </row>
    <row r="45" ht="15.75" customHeight="1">
      <c r="A45" s="28">
        <v>34.0</v>
      </c>
      <c r="B45" s="28">
        <f t="shared" si="1"/>
        <v>3</v>
      </c>
      <c r="C45" s="28">
        <f t="shared" si="2"/>
        <v>10</v>
      </c>
      <c r="D45" s="38">
        <f t="array" ref="D45">IF(B45=1,INDEX(CALC_MONTHLY!$B$66:$M$66,C45),INDEX(CALC_PL!$B$19:$F$19,B45)/12)</f>
        <v>374655.9388</v>
      </c>
      <c r="E45" s="38">
        <f t="array" ref="E45">IF(B45=1,INDEX(CALC_MONTHLY!$B$7:$M$7,C45)*CALC_PL!$B$11+INDEX(CALC_MONTHLY!$B$8:$M$8,C45)*CALC_PL!$B$12,INDEX(CALC_PL!$B$24:$F$24,B45)/12)</f>
        <v>119546.6053</v>
      </c>
      <c r="F45" s="38">
        <f t="array" ref="F45">INDEX(CALC_PL!$B$40:$F$40,B45)/12</f>
        <v>205166.5264</v>
      </c>
      <c r="G45" s="30">
        <f t="shared" si="3"/>
        <v>49942.80699</v>
      </c>
      <c r="H45" s="30">
        <f t="shared" si="4"/>
        <v>312213.2823</v>
      </c>
      <c r="I45" s="30">
        <f t="shared" si="9"/>
        <v>0</v>
      </c>
      <c r="J45" s="30">
        <f t="shared" si="5"/>
        <v>179319.908</v>
      </c>
      <c r="K45" s="30">
        <f t="shared" si="10"/>
        <v>0</v>
      </c>
      <c r="L45" s="30">
        <f t="shared" si="6"/>
        <v>119546.6053</v>
      </c>
      <c r="M45" s="30">
        <f t="shared" si="11"/>
        <v>0</v>
      </c>
      <c r="N45" s="30">
        <f t="shared" si="7"/>
        <v>49942.80699</v>
      </c>
      <c r="O45" s="30">
        <f t="shared" si="12"/>
        <v>1027065.158</v>
      </c>
      <c r="P45" s="47">
        <f t="shared" si="8"/>
        <v>1077007.965</v>
      </c>
      <c r="Q45" s="30">
        <f t="shared" si="13"/>
        <v>627522.7021</v>
      </c>
      <c r="R45" s="30">
        <f t="shared" si="14"/>
        <v>-918505.45</v>
      </c>
      <c r="S45" s="28">
        <f t="shared" si="15"/>
        <v>0</v>
      </c>
    </row>
    <row r="46" ht="15.75" customHeight="1">
      <c r="A46" s="28">
        <v>35.0</v>
      </c>
      <c r="B46" s="28">
        <f t="shared" si="1"/>
        <v>3</v>
      </c>
      <c r="C46" s="28">
        <f t="shared" si="2"/>
        <v>11</v>
      </c>
      <c r="D46" s="38">
        <f t="array" ref="D46">IF(B46=1,INDEX(CALC_MONTHLY!$B$66:$M$66,C46),INDEX(CALC_PL!$B$19:$F$19,B46)/12)</f>
        <v>374655.9388</v>
      </c>
      <c r="E46" s="38">
        <f t="array" ref="E46">IF(B46=1,INDEX(CALC_MONTHLY!$B$7:$M$7,C46)*CALC_PL!$B$11+INDEX(CALC_MONTHLY!$B$8:$M$8,C46)*CALC_PL!$B$12,INDEX(CALC_PL!$B$24:$F$24,B46)/12)</f>
        <v>119546.6053</v>
      </c>
      <c r="F46" s="38">
        <f t="array" ref="F46">INDEX(CALC_PL!$B$40:$F$40,B46)/12</f>
        <v>205166.5264</v>
      </c>
      <c r="G46" s="30">
        <f t="shared" si="3"/>
        <v>49942.80699</v>
      </c>
      <c r="H46" s="30">
        <f t="shared" si="4"/>
        <v>312213.2823</v>
      </c>
      <c r="I46" s="30">
        <f t="shared" si="9"/>
        <v>0</v>
      </c>
      <c r="J46" s="30">
        <f t="shared" si="5"/>
        <v>179319.908</v>
      </c>
      <c r="K46" s="30">
        <f t="shared" si="10"/>
        <v>0</v>
      </c>
      <c r="L46" s="30">
        <f t="shared" si="6"/>
        <v>119546.6053</v>
      </c>
      <c r="M46" s="30">
        <f t="shared" si="11"/>
        <v>0</v>
      </c>
      <c r="N46" s="30">
        <f t="shared" si="7"/>
        <v>49942.80699</v>
      </c>
      <c r="O46" s="30">
        <f t="shared" si="12"/>
        <v>1077007.965</v>
      </c>
      <c r="P46" s="47">
        <f t="shared" si="8"/>
        <v>1126950.772</v>
      </c>
      <c r="Q46" s="30">
        <f t="shared" si="13"/>
        <v>627522.7021</v>
      </c>
      <c r="R46" s="30">
        <f t="shared" si="14"/>
        <v>-868562.643</v>
      </c>
      <c r="S46" s="28">
        <f t="shared" si="15"/>
        <v>0</v>
      </c>
    </row>
    <row r="47" ht="15.75" customHeight="1">
      <c r="A47" s="50">
        <v>36.0</v>
      </c>
      <c r="B47" s="50">
        <f t="shared" si="1"/>
        <v>3</v>
      </c>
      <c r="C47" s="50">
        <f t="shared" si="2"/>
        <v>12</v>
      </c>
      <c r="D47" s="51">
        <f t="array" ref="D47">IF(B47=1,INDEX(CALC_MONTHLY!$B$66:$M$66,C47),INDEX(CALC_PL!$B$19:$F$19,B47)/12)</f>
        <v>374655.9388</v>
      </c>
      <c r="E47" s="51">
        <f t="array" ref="E47">IF(B47=1,INDEX(CALC_MONTHLY!$B$7:$M$7,C47)*CALC_PL!$B$11+INDEX(CALC_MONTHLY!$B$8:$M$8,C47)*CALC_PL!$B$12,INDEX(CALC_PL!$B$24:$F$24,B47)/12)</f>
        <v>119546.6053</v>
      </c>
      <c r="F47" s="51">
        <f t="array" ref="F47">INDEX(CALC_PL!$B$40:$F$40,B47)/12</f>
        <v>205166.5264</v>
      </c>
      <c r="G47" s="52">
        <f t="shared" si="3"/>
        <v>49942.80699</v>
      </c>
      <c r="H47" s="52">
        <f t="shared" si="4"/>
        <v>312213.2823</v>
      </c>
      <c r="I47" s="52">
        <f t="shared" si="9"/>
        <v>0</v>
      </c>
      <c r="J47" s="52">
        <f t="shared" si="5"/>
        <v>179319.908</v>
      </c>
      <c r="K47" s="52">
        <f t="shared" si="10"/>
        <v>0</v>
      </c>
      <c r="L47" s="52">
        <f t="shared" si="6"/>
        <v>119546.6053</v>
      </c>
      <c r="M47" s="52">
        <f t="shared" si="11"/>
        <v>0</v>
      </c>
      <c r="N47" s="52">
        <f t="shared" si="7"/>
        <v>49942.80699</v>
      </c>
      <c r="O47" s="52">
        <f t="shared" si="12"/>
        <v>1126950.772</v>
      </c>
      <c r="P47" s="48">
        <f t="shared" si="8"/>
        <v>1176893.579</v>
      </c>
      <c r="Q47" s="52">
        <f t="shared" si="13"/>
        <v>627522.7021</v>
      </c>
      <c r="R47" s="52">
        <f t="shared" si="14"/>
        <v>-818619.8361</v>
      </c>
      <c r="S47" s="50">
        <f t="shared" si="15"/>
        <v>0</v>
      </c>
    </row>
    <row r="48" ht="15.75" customHeight="1">
      <c r="A48" s="28">
        <v>37.0</v>
      </c>
      <c r="B48" s="28">
        <f t="shared" si="1"/>
        <v>4</v>
      </c>
      <c r="C48" s="28">
        <f t="shared" si="2"/>
        <v>1</v>
      </c>
      <c r="D48" s="38">
        <f t="array" ref="D48">IF(B48=1,INDEX(CALC_MONTHLY!$B$66:$M$66,C48),INDEX(CALC_PL!$B$19:$F$19,B48)/12)</f>
        <v>874842.104</v>
      </c>
      <c r="E48" s="38">
        <f t="array" ref="E48">IF(B48=1,INDEX(CALC_MONTHLY!$B$7:$M$7,C48)*CALC_PL!$B$11+INDEX(CALC_MONTHLY!$B$8:$M$8,C48)*CALC_PL!$B$12,INDEX(CALC_PL!$B$24:$F$24,B48)/12)</f>
        <v>257083.5797</v>
      </c>
      <c r="F48" s="38">
        <f t="array" ref="F48">INDEX(CALC_PL!$B$40:$F$40,B48)/12</f>
        <v>323335.7211</v>
      </c>
      <c r="G48" s="30">
        <f t="shared" si="3"/>
        <v>294422.8032</v>
      </c>
      <c r="H48" s="30">
        <f t="shared" si="4"/>
        <v>729035.0867</v>
      </c>
      <c r="I48" s="30">
        <f t="shared" si="9"/>
        <v>416821.8044</v>
      </c>
      <c r="J48" s="30">
        <f t="shared" si="5"/>
        <v>385625.3695</v>
      </c>
      <c r="K48" s="30">
        <f t="shared" si="10"/>
        <v>206305.4615</v>
      </c>
      <c r="L48" s="30">
        <f t="shared" si="6"/>
        <v>257083.5797</v>
      </c>
      <c r="M48" s="30">
        <f t="shared" si="11"/>
        <v>137536.9743</v>
      </c>
      <c r="N48" s="30">
        <f t="shared" si="7"/>
        <v>-191167.4883</v>
      </c>
      <c r="O48" s="30">
        <f t="shared" si="12"/>
        <v>1176893.579</v>
      </c>
      <c r="P48" s="47">
        <f t="shared" si="8"/>
        <v>985726.0907</v>
      </c>
      <c r="Q48" s="30">
        <f t="shared" si="13"/>
        <v>627522.7021</v>
      </c>
      <c r="R48" s="30">
        <f t="shared" si="14"/>
        <v>-524197.0328</v>
      </c>
      <c r="S48" s="28">
        <f t="shared" si="15"/>
        <v>0</v>
      </c>
    </row>
    <row r="49" ht="15.75" customHeight="1">
      <c r="A49" s="28">
        <v>38.0</v>
      </c>
      <c r="B49" s="28">
        <f t="shared" si="1"/>
        <v>4</v>
      </c>
      <c r="C49" s="28">
        <f t="shared" si="2"/>
        <v>2</v>
      </c>
      <c r="D49" s="38">
        <f t="array" ref="D49">IF(B49=1,INDEX(CALC_MONTHLY!$B$66:$M$66,C49),INDEX(CALC_PL!$B$19:$F$19,B49)/12)</f>
        <v>874842.104</v>
      </c>
      <c r="E49" s="38">
        <f t="array" ref="E49">IF(B49=1,INDEX(CALC_MONTHLY!$B$7:$M$7,C49)*CALC_PL!$B$11+INDEX(CALC_MONTHLY!$B$8:$M$8,C49)*CALC_PL!$B$12,INDEX(CALC_PL!$B$24:$F$24,B49)/12)</f>
        <v>257083.5797</v>
      </c>
      <c r="F49" s="38">
        <f t="array" ref="F49">INDEX(CALC_PL!$B$40:$F$40,B49)/12</f>
        <v>323335.7211</v>
      </c>
      <c r="G49" s="30">
        <f t="shared" si="3"/>
        <v>294422.8032</v>
      </c>
      <c r="H49" s="30">
        <f t="shared" si="4"/>
        <v>729035.0867</v>
      </c>
      <c r="I49" s="30">
        <f t="shared" si="9"/>
        <v>0</v>
      </c>
      <c r="J49" s="30">
        <f t="shared" si="5"/>
        <v>385625.3695</v>
      </c>
      <c r="K49" s="30">
        <f t="shared" si="10"/>
        <v>0</v>
      </c>
      <c r="L49" s="30">
        <f t="shared" si="6"/>
        <v>257083.5797</v>
      </c>
      <c r="M49" s="30">
        <f t="shared" si="11"/>
        <v>0</v>
      </c>
      <c r="N49" s="30">
        <f t="shared" si="7"/>
        <v>294422.8032</v>
      </c>
      <c r="O49" s="30">
        <f t="shared" si="12"/>
        <v>985726.0907</v>
      </c>
      <c r="P49" s="47">
        <f t="shared" si="8"/>
        <v>1280148.894</v>
      </c>
      <c r="Q49" s="30">
        <f t="shared" si="13"/>
        <v>627522.7021</v>
      </c>
      <c r="R49" s="30">
        <f t="shared" si="14"/>
        <v>-229774.2296</v>
      </c>
      <c r="S49" s="28">
        <f t="shared" si="15"/>
        <v>0</v>
      </c>
    </row>
    <row r="50" ht="15.75" customHeight="1">
      <c r="A50" s="28">
        <v>39.0</v>
      </c>
      <c r="B50" s="28">
        <f t="shared" si="1"/>
        <v>4</v>
      </c>
      <c r="C50" s="28">
        <f t="shared" si="2"/>
        <v>3</v>
      </c>
      <c r="D50" s="38">
        <f t="array" ref="D50">IF(B50=1,INDEX(CALC_MONTHLY!$B$66:$M$66,C50),INDEX(CALC_PL!$B$19:$F$19,B50)/12)</f>
        <v>874842.104</v>
      </c>
      <c r="E50" s="38">
        <f t="array" ref="E50">IF(B50=1,INDEX(CALC_MONTHLY!$B$7:$M$7,C50)*CALC_PL!$B$11+INDEX(CALC_MONTHLY!$B$8:$M$8,C50)*CALC_PL!$B$12,INDEX(CALC_PL!$B$24:$F$24,B50)/12)</f>
        <v>257083.5797</v>
      </c>
      <c r="F50" s="38">
        <f t="array" ref="F50">INDEX(CALC_PL!$B$40:$F$40,B50)/12</f>
        <v>323335.7211</v>
      </c>
      <c r="G50" s="30">
        <f t="shared" si="3"/>
        <v>294422.8032</v>
      </c>
      <c r="H50" s="30">
        <f t="shared" si="4"/>
        <v>729035.0867</v>
      </c>
      <c r="I50" s="30">
        <f t="shared" si="9"/>
        <v>0</v>
      </c>
      <c r="J50" s="30">
        <f t="shared" si="5"/>
        <v>385625.3695</v>
      </c>
      <c r="K50" s="30">
        <f t="shared" si="10"/>
        <v>0</v>
      </c>
      <c r="L50" s="30">
        <f t="shared" si="6"/>
        <v>257083.5797</v>
      </c>
      <c r="M50" s="30">
        <f t="shared" si="11"/>
        <v>0</v>
      </c>
      <c r="N50" s="30">
        <f t="shared" si="7"/>
        <v>294422.8032</v>
      </c>
      <c r="O50" s="30">
        <f t="shared" si="12"/>
        <v>1280148.894</v>
      </c>
      <c r="P50" s="47">
        <f t="shared" si="8"/>
        <v>1574571.697</v>
      </c>
      <c r="Q50" s="30">
        <f t="shared" si="13"/>
        <v>627522.7021</v>
      </c>
      <c r="R50" s="30">
        <f t="shared" si="14"/>
        <v>64648.57361</v>
      </c>
      <c r="S50" s="28">
        <f t="shared" si="15"/>
        <v>39</v>
      </c>
    </row>
    <row r="51" ht="15.75" customHeight="1">
      <c r="A51" s="28">
        <v>40.0</v>
      </c>
      <c r="B51" s="28">
        <f t="shared" si="1"/>
        <v>4</v>
      </c>
      <c r="C51" s="28">
        <f t="shared" si="2"/>
        <v>4</v>
      </c>
      <c r="D51" s="38">
        <f t="array" ref="D51">IF(B51=1,INDEX(CALC_MONTHLY!$B$66:$M$66,C51),INDEX(CALC_PL!$B$19:$F$19,B51)/12)</f>
        <v>874842.104</v>
      </c>
      <c r="E51" s="38">
        <f t="array" ref="E51">IF(B51=1,INDEX(CALC_MONTHLY!$B$7:$M$7,C51)*CALC_PL!$B$11+INDEX(CALC_MONTHLY!$B$8:$M$8,C51)*CALC_PL!$B$12,INDEX(CALC_PL!$B$24:$F$24,B51)/12)</f>
        <v>257083.5797</v>
      </c>
      <c r="F51" s="38">
        <f t="array" ref="F51">INDEX(CALC_PL!$B$40:$F$40,B51)/12</f>
        <v>323335.7211</v>
      </c>
      <c r="G51" s="30">
        <f t="shared" si="3"/>
        <v>294422.8032</v>
      </c>
      <c r="H51" s="30">
        <f t="shared" si="4"/>
        <v>729035.0867</v>
      </c>
      <c r="I51" s="30">
        <f t="shared" si="9"/>
        <v>0</v>
      </c>
      <c r="J51" s="30">
        <f t="shared" si="5"/>
        <v>385625.3695</v>
      </c>
      <c r="K51" s="30">
        <f t="shared" si="10"/>
        <v>0</v>
      </c>
      <c r="L51" s="30">
        <f t="shared" si="6"/>
        <v>257083.5797</v>
      </c>
      <c r="M51" s="30">
        <f t="shared" si="11"/>
        <v>0</v>
      </c>
      <c r="N51" s="30">
        <f t="shared" si="7"/>
        <v>294422.8032</v>
      </c>
      <c r="O51" s="30">
        <f t="shared" si="12"/>
        <v>1574571.697</v>
      </c>
      <c r="P51" s="47">
        <f t="shared" si="8"/>
        <v>1868994.5</v>
      </c>
      <c r="Q51" s="30">
        <f t="shared" si="13"/>
        <v>627522.7021</v>
      </c>
      <c r="R51" s="30">
        <f t="shared" si="14"/>
        <v>359071.3768</v>
      </c>
      <c r="S51" s="28">
        <f t="shared" si="15"/>
        <v>39</v>
      </c>
    </row>
    <row r="52" ht="15.75" customHeight="1">
      <c r="A52" s="28">
        <v>41.0</v>
      </c>
      <c r="B52" s="28">
        <f t="shared" si="1"/>
        <v>4</v>
      </c>
      <c r="C52" s="28">
        <f t="shared" si="2"/>
        <v>5</v>
      </c>
      <c r="D52" s="38">
        <f t="array" ref="D52">IF(B52=1,INDEX(CALC_MONTHLY!$B$66:$M$66,C52),INDEX(CALC_PL!$B$19:$F$19,B52)/12)</f>
        <v>874842.104</v>
      </c>
      <c r="E52" s="38">
        <f t="array" ref="E52">IF(B52=1,INDEX(CALC_MONTHLY!$B$7:$M$7,C52)*CALC_PL!$B$11+INDEX(CALC_MONTHLY!$B$8:$M$8,C52)*CALC_PL!$B$12,INDEX(CALC_PL!$B$24:$F$24,B52)/12)</f>
        <v>257083.5797</v>
      </c>
      <c r="F52" s="38">
        <f t="array" ref="F52">INDEX(CALC_PL!$B$40:$F$40,B52)/12</f>
        <v>323335.7211</v>
      </c>
      <c r="G52" s="30">
        <f t="shared" si="3"/>
        <v>294422.8032</v>
      </c>
      <c r="H52" s="30">
        <f t="shared" si="4"/>
        <v>729035.0867</v>
      </c>
      <c r="I52" s="30">
        <f t="shared" si="9"/>
        <v>0</v>
      </c>
      <c r="J52" s="30">
        <f t="shared" si="5"/>
        <v>385625.3695</v>
      </c>
      <c r="K52" s="30">
        <f t="shared" si="10"/>
        <v>0</v>
      </c>
      <c r="L52" s="30">
        <f t="shared" si="6"/>
        <v>257083.5797</v>
      </c>
      <c r="M52" s="30">
        <f t="shared" si="11"/>
        <v>0</v>
      </c>
      <c r="N52" s="30">
        <f t="shared" si="7"/>
        <v>294422.8032</v>
      </c>
      <c r="O52" s="30">
        <f t="shared" si="12"/>
        <v>1868994.5</v>
      </c>
      <c r="P52" s="47">
        <f t="shared" si="8"/>
        <v>2163417.304</v>
      </c>
      <c r="Q52" s="30">
        <f t="shared" si="13"/>
        <v>627522.7021</v>
      </c>
      <c r="R52" s="30">
        <f t="shared" si="14"/>
        <v>653494.1801</v>
      </c>
      <c r="S52" s="28">
        <f t="shared" si="15"/>
        <v>39</v>
      </c>
    </row>
    <row r="53" ht="15.75" customHeight="1">
      <c r="A53" s="28">
        <v>42.0</v>
      </c>
      <c r="B53" s="28">
        <f t="shared" si="1"/>
        <v>4</v>
      </c>
      <c r="C53" s="28">
        <f t="shared" si="2"/>
        <v>6</v>
      </c>
      <c r="D53" s="38">
        <f t="array" ref="D53">IF(B53=1,INDEX(CALC_MONTHLY!$B$66:$M$66,C53),INDEX(CALC_PL!$B$19:$F$19,B53)/12)</f>
        <v>874842.104</v>
      </c>
      <c r="E53" s="38">
        <f t="array" ref="E53">IF(B53=1,INDEX(CALC_MONTHLY!$B$7:$M$7,C53)*CALC_PL!$B$11+INDEX(CALC_MONTHLY!$B$8:$M$8,C53)*CALC_PL!$B$12,INDEX(CALC_PL!$B$24:$F$24,B53)/12)</f>
        <v>257083.5797</v>
      </c>
      <c r="F53" s="38">
        <f t="array" ref="F53">INDEX(CALC_PL!$B$40:$F$40,B53)/12</f>
        <v>323335.7211</v>
      </c>
      <c r="G53" s="30">
        <f t="shared" si="3"/>
        <v>294422.8032</v>
      </c>
      <c r="H53" s="30">
        <f t="shared" si="4"/>
        <v>729035.0867</v>
      </c>
      <c r="I53" s="30">
        <f t="shared" si="9"/>
        <v>0</v>
      </c>
      <c r="J53" s="30">
        <f t="shared" si="5"/>
        <v>385625.3695</v>
      </c>
      <c r="K53" s="30">
        <f t="shared" si="10"/>
        <v>0</v>
      </c>
      <c r="L53" s="30">
        <f t="shared" si="6"/>
        <v>257083.5797</v>
      </c>
      <c r="M53" s="30">
        <f t="shared" si="11"/>
        <v>0</v>
      </c>
      <c r="N53" s="30">
        <f t="shared" si="7"/>
        <v>294422.8032</v>
      </c>
      <c r="O53" s="30">
        <f t="shared" si="12"/>
        <v>2163417.304</v>
      </c>
      <c r="P53" s="47">
        <f t="shared" si="8"/>
        <v>2457840.107</v>
      </c>
      <c r="Q53" s="30">
        <f t="shared" si="13"/>
        <v>627522.7021</v>
      </c>
      <c r="R53" s="30">
        <f t="shared" si="14"/>
        <v>947916.9833</v>
      </c>
      <c r="S53" s="28">
        <f t="shared" si="15"/>
        <v>39</v>
      </c>
    </row>
    <row r="54" ht="15.75" customHeight="1">
      <c r="A54" s="28">
        <v>43.0</v>
      </c>
      <c r="B54" s="28">
        <f t="shared" si="1"/>
        <v>4</v>
      </c>
      <c r="C54" s="28">
        <f t="shared" si="2"/>
        <v>7</v>
      </c>
      <c r="D54" s="38">
        <f t="array" ref="D54">IF(B54=1,INDEX(CALC_MONTHLY!$B$66:$M$66,C54),INDEX(CALC_PL!$B$19:$F$19,B54)/12)</f>
        <v>874842.104</v>
      </c>
      <c r="E54" s="38">
        <f t="array" ref="E54">IF(B54=1,INDEX(CALC_MONTHLY!$B$7:$M$7,C54)*CALC_PL!$B$11+INDEX(CALC_MONTHLY!$B$8:$M$8,C54)*CALC_PL!$B$12,INDEX(CALC_PL!$B$24:$F$24,B54)/12)</f>
        <v>257083.5797</v>
      </c>
      <c r="F54" s="38">
        <f t="array" ref="F54">INDEX(CALC_PL!$B$40:$F$40,B54)/12</f>
        <v>323335.7211</v>
      </c>
      <c r="G54" s="30">
        <f t="shared" si="3"/>
        <v>294422.8032</v>
      </c>
      <c r="H54" s="30">
        <f t="shared" si="4"/>
        <v>729035.0867</v>
      </c>
      <c r="I54" s="30">
        <f t="shared" si="9"/>
        <v>0</v>
      </c>
      <c r="J54" s="30">
        <f t="shared" si="5"/>
        <v>385625.3695</v>
      </c>
      <c r="K54" s="30">
        <f t="shared" si="10"/>
        <v>0</v>
      </c>
      <c r="L54" s="30">
        <f t="shared" si="6"/>
        <v>257083.5797</v>
      </c>
      <c r="M54" s="30">
        <f t="shared" si="11"/>
        <v>0</v>
      </c>
      <c r="N54" s="30">
        <f t="shared" si="7"/>
        <v>294422.8032</v>
      </c>
      <c r="O54" s="30">
        <f t="shared" si="12"/>
        <v>2457840.107</v>
      </c>
      <c r="P54" s="47">
        <f t="shared" si="8"/>
        <v>2752262.91</v>
      </c>
      <c r="Q54" s="30">
        <f t="shared" si="13"/>
        <v>627522.7021</v>
      </c>
      <c r="R54" s="30">
        <f t="shared" si="14"/>
        <v>1242339.787</v>
      </c>
      <c r="S54" s="28">
        <f t="shared" si="15"/>
        <v>39</v>
      </c>
    </row>
    <row r="55" ht="15.75" customHeight="1">
      <c r="A55" s="28">
        <v>44.0</v>
      </c>
      <c r="B55" s="28">
        <f t="shared" si="1"/>
        <v>4</v>
      </c>
      <c r="C55" s="28">
        <f t="shared" si="2"/>
        <v>8</v>
      </c>
      <c r="D55" s="38">
        <f t="array" ref="D55">IF(B55=1,INDEX(CALC_MONTHLY!$B$66:$M$66,C55),INDEX(CALC_PL!$B$19:$F$19,B55)/12)</f>
        <v>874842.104</v>
      </c>
      <c r="E55" s="38">
        <f t="array" ref="E55">IF(B55=1,INDEX(CALC_MONTHLY!$B$7:$M$7,C55)*CALC_PL!$B$11+INDEX(CALC_MONTHLY!$B$8:$M$8,C55)*CALC_PL!$B$12,INDEX(CALC_PL!$B$24:$F$24,B55)/12)</f>
        <v>257083.5797</v>
      </c>
      <c r="F55" s="38">
        <f t="array" ref="F55">INDEX(CALC_PL!$B$40:$F$40,B55)/12</f>
        <v>323335.7211</v>
      </c>
      <c r="G55" s="30">
        <f t="shared" si="3"/>
        <v>294422.8032</v>
      </c>
      <c r="H55" s="30">
        <f t="shared" si="4"/>
        <v>729035.0867</v>
      </c>
      <c r="I55" s="30">
        <f t="shared" si="9"/>
        <v>0</v>
      </c>
      <c r="J55" s="30">
        <f t="shared" si="5"/>
        <v>385625.3695</v>
      </c>
      <c r="K55" s="30">
        <f t="shared" si="10"/>
        <v>0</v>
      </c>
      <c r="L55" s="30">
        <f t="shared" si="6"/>
        <v>257083.5797</v>
      </c>
      <c r="M55" s="30">
        <f t="shared" si="11"/>
        <v>0</v>
      </c>
      <c r="N55" s="30">
        <f t="shared" si="7"/>
        <v>294422.8032</v>
      </c>
      <c r="O55" s="30">
        <f t="shared" si="12"/>
        <v>2752262.91</v>
      </c>
      <c r="P55" s="47">
        <f t="shared" si="8"/>
        <v>3046685.713</v>
      </c>
      <c r="Q55" s="30">
        <f t="shared" si="13"/>
        <v>627522.7021</v>
      </c>
      <c r="R55" s="30">
        <f t="shared" si="14"/>
        <v>1536762.59</v>
      </c>
      <c r="S55" s="28">
        <f t="shared" si="15"/>
        <v>39</v>
      </c>
    </row>
    <row r="56" ht="15.75" customHeight="1">
      <c r="A56" s="28">
        <v>45.0</v>
      </c>
      <c r="B56" s="28">
        <f t="shared" si="1"/>
        <v>4</v>
      </c>
      <c r="C56" s="28">
        <f t="shared" si="2"/>
        <v>9</v>
      </c>
      <c r="D56" s="38">
        <f t="array" ref="D56">IF(B56=1,INDEX(CALC_MONTHLY!$B$66:$M$66,C56),INDEX(CALC_PL!$B$19:$F$19,B56)/12)</f>
        <v>874842.104</v>
      </c>
      <c r="E56" s="38">
        <f t="array" ref="E56">IF(B56=1,INDEX(CALC_MONTHLY!$B$7:$M$7,C56)*CALC_PL!$B$11+INDEX(CALC_MONTHLY!$B$8:$M$8,C56)*CALC_PL!$B$12,INDEX(CALC_PL!$B$24:$F$24,B56)/12)</f>
        <v>257083.5797</v>
      </c>
      <c r="F56" s="38">
        <f t="array" ref="F56">INDEX(CALC_PL!$B$40:$F$40,B56)/12</f>
        <v>323335.7211</v>
      </c>
      <c r="G56" s="30">
        <f t="shared" si="3"/>
        <v>294422.8032</v>
      </c>
      <c r="H56" s="30">
        <f t="shared" si="4"/>
        <v>729035.0867</v>
      </c>
      <c r="I56" s="30">
        <f t="shared" si="9"/>
        <v>0</v>
      </c>
      <c r="J56" s="30">
        <f t="shared" si="5"/>
        <v>385625.3695</v>
      </c>
      <c r="K56" s="30">
        <f t="shared" si="10"/>
        <v>0</v>
      </c>
      <c r="L56" s="30">
        <f t="shared" si="6"/>
        <v>257083.5797</v>
      </c>
      <c r="M56" s="30">
        <f t="shared" si="11"/>
        <v>0</v>
      </c>
      <c r="N56" s="30">
        <f t="shared" si="7"/>
        <v>294422.8032</v>
      </c>
      <c r="O56" s="30">
        <f t="shared" si="12"/>
        <v>3046685.713</v>
      </c>
      <c r="P56" s="47">
        <f t="shared" si="8"/>
        <v>3341108.516</v>
      </c>
      <c r="Q56" s="30">
        <f t="shared" si="13"/>
        <v>627522.7021</v>
      </c>
      <c r="R56" s="30">
        <f t="shared" si="14"/>
        <v>1831185.393</v>
      </c>
      <c r="S56" s="28">
        <f t="shared" si="15"/>
        <v>39</v>
      </c>
    </row>
    <row r="57" ht="15.75" customHeight="1">
      <c r="A57" s="28">
        <v>46.0</v>
      </c>
      <c r="B57" s="28">
        <f t="shared" si="1"/>
        <v>4</v>
      </c>
      <c r="C57" s="28">
        <f t="shared" si="2"/>
        <v>10</v>
      </c>
      <c r="D57" s="38">
        <f t="array" ref="D57">IF(B57=1,INDEX(CALC_MONTHLY!$B$66:$M$66,C57),INDEX(CALC_PL!$B$19:$F$19,B57)/12)</f>
        <v>874842.104</v>
      </c>
      <c r="E57" s="38">
        <f t="array" ref="E57">IF(B57=1,INDEX(CALC_MONTHLY!$B$7:$M$7,C57)*CALC_PL!$B$11+INDEX(CALC_MONTHLY!$B$8:$M$8,C57)*CALC_PL!$B$12,INDEX(CALC_PL!$B$24:$F$24,B57)/12)</f>
        <v>257083.5797</v>
      </c>
      <c r="F57" s="38">
        <f t="array" ref="F57">INDEX(CALC_PL!$B$40:$F$40,B57)/12</f>
        <v>323335.7211</v>
      </c>
      <c r="G57" s="30">
        <f t="shared" si="3"/>
        <v>294422.8032</v>
      </c>
      <c r="H57" s="30">
        <f t="shared" si="4"/>
        <v>729035.0867</v>
      </c>
      <c r="I57" s="30">
        <f t="shared" si="9"/>
        <v>0</v>
      </c>
      <c r="J57" s="30">
        <f t="shared" si="5"/>
        <v>385625.3695</v>
      </c>
      <c r="K57" s="30">
        <f t="shared" si="10"/>
        <v>0</v>
      </c>
      <c r="L57" s="30">
        <f t="shared" si="6"/>
        <v>257083.5797</v>
      </c>
      <c r="M57" s="30">
        <f t="shared" si="11"/>
        <v>0</v>
      </c>
      <c r="N57" s="30">
        <f t="shared" si="7"/>
        <v>294422.8032</v>
      </c>
      <c r="O57" s="30">
        <f t="shared" si="12"/>
        <v>3341108.516</v>
      </c>
      <c r="P57" s="47">
        <f t="shared" si="8"/>
        <v>3635531.32</v>
      </c>
      <c r="Q57" s="30">
        <f t="shared" si="13"/>
        <v>627522.7021</v>
      </c>
      <c r="R57" s="30">
        <f t="shared" si="14"/>
        <v>2125608.196</v>
      </c>
      <c r="S57" s="28">
        <f t="shared" si="15"/>
        <v>39</v>
      </c>
    </row>
    <row r="58" ht="15.75" customHeight="1">
      <c r="A58" s="28">
        <v>47.0</v>
      </c>
      <c r="B58" s="28">
        <f t="shared" si="1"/>
        <v>4</v>
      </c>
      <c r="C58" s="28">
        <f t="shared" si="2"/>
        <v>11</v>
      </c>
      <c r="D58" s="38">
        <f t="array" ref="D58">IF(B58=1,INDEX(CALC_MONTHLY!$B$66:$M$66,C58),INDEX(CALC_PL!$B$19:$F$19,B58)/12)</f>
        <v>874842.104</v>
      </c>
      <c r="E58" s="38">
        <f t="array" ref="E58">IF(B58=1,INDEX(CALC_MONTHLY!$B$7:$M$7,C58)*CALC_PL!$B$11+INDEX(CALC_MONTHLY!$B$8:$M$8,C58)*CALC_PL!$B$12,INDEX(CALC_PL!$B$24:$F$24,B58)/12)</f>
        <v>257083.5797</v>
      </c>
      <c r="F58" s="38">
        <f t="array" ref="F58">INDEX(CALC_PL!$B$40:$F$40,B58)/12</f>
        <v>323335.7211</v>
      </c>
      <c r="G58" s="30">
        <f t="shared" si="3"/>
        <v>294422.8032</v>
      </c>
      <c r="H58" s="30">
        <f t="shared" si="4"/>
        <v>729035.0867</v>
      </c>
      <c r="I58" s="30">
        <f t="shared" si="9"/>
        <v>0</v>
      </c>
      <c r="J58" s="30">
        <f t="shared" si="5"/>
        <v>385625.3695</v>
      </c>
      <c r="K58" s="30">
        <f t="shared" si="10"/>
        <v>0</v>
      </c>
      <c r="L58" s="30">
        <f t="shared" si="6"/>
        <v>257083.5797</v>
      </c>
      <c r="M58" s="30">
        <f t="shared" si="11"/>
        <v>0</v>
      </c>
      <c r="N58" s="30">
        <f t="shared" si="7"/>
        <v>294422.8032</v>
      </c>
      <c r="O58" s="30">
        <f t="shared" si="12"/>
        <v>3635531.32</v>
      </c>
      <c r="P58" s="47">
        <f t="shared" si="8"/>
        <v>3929954.123</v>
      </c>
      <c r="Q58" s="30">
        <f t="shared" si="13"/>
        <v>627522.7021</v>
      </c>
      <c r="R58" s="30">
        <f t="shared" si="14"/>
        <v>2420030.999</v>
      </c>
      <c r="S58" s="28">
        <f t="shared" si="15"/>
        <v>39</v>
      </c>
    </row>
    <row r="59" ht="15.75" customHeight="1">
      <c r="A59" s="50">
        <v>48.0</v>
      </c>
      <c r="B59" s="50">
        <f t="shared" si="1"/>
        <v>4</v>
      </c>
      <c r="C59" s="50">
        <f t="shared" si="2"/>
        <v>12</v>
      </c>
      <c r="D59" s="51">
        <f t="array" ref="D59">IF(B59=1,INDEX(CALC_MONTHLY!$B$66:$M$66,C59),INDEX(CALC_PL!$B$19:$F$19,B59)/12)</f>
        <v>874842.104</v>
      </c>
      <c r="E59" s="51">
        <f t="array" ref="E59">IF(B59=1,INDEX(CALC_MONTHLY!$B$7:$M$7,C59)*CALC_PL!$B$11+INDEX(CALC_MONTHLY!$B$8:$M$8,C59)*CALC_PL!$B$12,INDEX(CALC_PL!$B$24:$F$24,B59)/12)</f>
        <v>257083.5797</v>
      </c>
      <c r="F59" s="51">
        <f t="array" ref="F59">INDEX(CALC_PL!$B$40:$F$40,B59)/12</f>
        <v>323335.7211</v>
      </c>
      <c r="G59" s="52">
        <f t="shared" si="3"/>
        <v>294422.8032</v>
      </c>
      <c r="H59" s="52">
        <f t="shared" si="4"/>
        <v>729035.0867</v>
      </c>
      <c r="I59" s="52">
        <f t="shared" si="9"/>
        <v>0</v>
      </c>
      <c r="J59" s="52">
        <f t="shared" si="5"/>
        <v>385625.3695</v>
      </c>
      <c r="K59" s="52">
        <f t="shared" si="10"/>
        <v>0</v>
      </c>
      <c r="L59" s="52">
        <f t="shared" si="6"/>
        <v>257083.5797</v>
      </c>
      <c r="M59" s="52">
        <f t="shared" si="11"/>
        <v>0</v>
      </c>
      <c r="N59" s="52">
        <f t="shared" si="7"/>
        <v>294422.8032</v>
      </c>
      <c r="O59" s="52">
        <f t="shared" si="12"/>
        <v>3929954.123</v>
      </c>
      <c r="P59" s="48">
        <f t="shared" si="8"/>
        <v>4224376.926</v>
      </c>
      <c r="Q59" s="52">
        <f t="shared" si="13"/>
        <v>627522.7021</v>
      </c>
      <c r="R59" s="52">
        <f t="shared" si="14"/>
        <v>2714453.803</v>
      </c>
      <c r="S59" s="50">
        <f t="shared" si="15"/>
        <v>39</v>
      </c>
    </row>
    <row r="60" ht="15.75" customHeight="1">
      <c r="A60" s="28">
        <v>49.0</v>
      </c>
      <c r="B60" s="28">
        <f t="shared" si="1"/>
        <v>5</v>
      </c>
      <c r="C60" s="28">
        <f t="shared" si="2"/>
        <v>1</v>
      </c>
      <c r="D60" s="38">
        <f t="array" ref="D60">IF(B60=1,INDEX(CALC_MONTHLY!$B$66:$M$66,C60),INDEX(CALC_PL!$B$19:$F$19,B60)/12)</f>
        <v>1833080.668</v>
      </c>
      <c r="E60" s="38">
        <f t="array" ref="E60">IF(B60=1,INDEX(CALC_MONTHLY!$B$7:$M$7,C60)*CALC_PL!$B$11+INDEX(CALC_MONTHLY!$B$8:$M$8,C60)*CALC_PL!$B$12,INDEX(CALC_PL!$B$24:$F$24,B60)/12)</f>
        <v>519667.0302</v>
      </c>
      <c r="F60" s="38">
        <f t="array" ref="F60">INDEX(CALC_PL!$B$40:$F$40,B60)/12</f>
        <v>486870.4866</v>
      </c>
      <c r="G60" s="30">
        <f t="shared" si="3"/>
        <v>826543.1516</v>
      </c>
      <c r="H60" s="30">
        <f t="shared" si="4"/>
        <v>1527567.224</v>
      </c>
      <c r="I60" s="30">
        <f t="shared" si="9"/>
        <v>798532.1369</v>
      </c>
      <c r="J60" s="30">
        <f t="shared" si="5"/>
        <v>779500.5453</v>
      </c>
      <c r="K60" s="30">
        <f t="shared" si="10"/>
        <v>393875.1758</v>
      </c>
      <c r="L60" s="30">
        <f t="shared" si="6"/>
        <v>519667.0302</v>
      </c>
      <c r="M60" s="30">
        <f t="shared" si="11"/>
        <v>262583.4506</v>
      </c>
      <c r="N60" s="30">
        <f t="shared" si="7"/>
        <v>-103280.7107</v>
      </c>
      <c r="O60" s="30">
        <f t="shared" si="12"/>
        <v>4224376.926</v>
      </c>
      <c r="P60" s="47">
        <f t="shared" si="8"/>
        <v>4121096.215</v>
      </c>
      <c r="Q60" s="30">
        <f t="shared" si="13"/>
        <v>627522.7021</v>
      </c>
      <c r="R60" s="30">
        <f t="shared" si="14"/>
        <v>3540996.954</v>
      </c>
      <c r="S60" s="28">
        <f t="shared" si="15"/>
        <v>39</v>
      </c>
    </row>
    <row r="61" ht="15.75" customHeight="1">
      <c r="A61" s="28">
        <v>50.0</v>
      </c>
      <c r="B61" s="28">
        <f t="shared" si="1"/>
        <v>5</v>
      </c>
      <c r="C61" s="28">
        <f t="shared" si="2"/>
        <v>2</v>
      </c>
      <c r="D61" s="38">
        <f t="array" ref="D61">IF(B61=1,INDEX(CALC_MONTHLY!$B$66:$M$66,C61),INDEX(CALC_PL!$B$19:$F$19,B61)/12)</f>
        <v>1833080.668</v>
      </c>
      <c r="E61" s="38">
        <f t="array" ref="E61">IF(B61=1,INDEX(CALC_MONTHLY!$B$7:$M$7,C61)*CALC_PL!$B$11+INDEX(CALC_MONTHLY!$B$8:$M$8,C61)*CALC_PL!$B$12,INDEX(CALC_PL!$B$24:$F$24,B61)/12)</f>
        <v>519667.0302</v>
      </c>
      <c r="F61" s="38">
        <f t="array" ref="F61">INDEX(CALC_PL!$B$40:$F$40,B61)/12</f>
        <v>486870.4866</v>
      </c>
      <c r="G61" s="30">
        <f t="shared" si="3"/>
        <v>826543.1516</v>
      </c>
      <c r="H61" s="30">
        <f t="shared" si="4"/>
        <v>1527567.224</v>
      </c>
      <c r="I61" s="30">
        <f t="shared" si="9"/>
        <v>0</v>
      </c>
      <c r="J61" s="30">
        <f t="shared" si="5"/>
        <v>779500.5453</v>
      </c>
      <c r="K61" s="30">
        <f t="shared" si="10"/>
        <v>0</v>
      </c>
      <c r="L61" s="30">
        <f t="shared" si="6"/>
        <v>519667.0302</v>
      </c>
      <c r="M61" s="30">
        <f t="shared" si="11"/>
        <v>0</v>
      </c>
      <c r="N61" s="30">
        <f t="shared" si="7"/>
        <v>826543.1516</v>
      </c>
      <c r="O61" s="30">
        <f t="shared" si="12"/>
        <v>4121096.215</v>
      </c>
      <c r="P61" s="47">
        <f t="shared" si="8"/>
        <v>4947639.367</v>
      </c>
      <c r="Q61" s="30">
        <f t="shared" si="13"/>
        <v>627522.7021</v>
      </c>
      <c r="R61" s="30">
        <f t="shared" si="14"/>
        <v>4367540.106</v>
      </c>
      <c r="S61" s="28">
        <f t="shared" si="15"/>
        <v>39</v>
      </c>
    </row>
    <row r="62" ht="15.75" customHeight="1">
      <c r="A62" s="28">
        <v>51.0</v>
      </c>
      <c r="B62" s="28">
        <f t="shared" si="1"/>
        <v>5</v>
      </c>
      <c r="C62" s="28">
        <f t="shared" si="2"/>
        <v>3</v>
      </c>
      <c r="D62" s="38">
        <f t="array" ref="D62">IF(B62=1,INDEX(CALC_MONTHLY!$B$66:$M$66,C62),INDEX(CALC_PL!$B$19:$F$19,B62)/12)</f>
        <v>1833080.668</v>
      </c>
      <c r="E62" s="38">
        <f t="array" ref="E62">IF(B62=1,INDEX(CALC_MONTHLY!$B$7:$M$7,C62)*CALC_PL!$B$11+INDEX(CALC_MONTHLY!$B$8:$M$8,C62)*CALC_PL!$B$12,INDEX(CALC_PL!$B$24:$F$24,B62)/12)</f>
        <v>519667.0302</v>
      </c>
      <c r="F62" s="38">
        <f t="array" ref="F62">INDEX(CALC_PL!$B$40:$F$40,B62)/12</f>
        <v>486870.4866</v>
      </c>
      <c r="G62" s="30">
        <f t="shared" si="3"/>
        <v>826543.1516</v>
      </c>
      <c r="H62" s="30">
        <f t="shared" si="4"/>
        <v>1527567.224</v>
      </c>
      <c r="I62" s="30">
        <f t="shared" si="9"/>
        <v>0</v>
      </c>
      <c r="J62" s="30">
        <f t="shared" si="5"/>
        <v>779500.5453</v>
      </c>
      <c r="K62" s="30">
        <f t="shared" si="10"/>
        <v>0</v>
      </c>
      <c r="L62" s="30">
        <f t="shared" si="6"/>
        <v>519667.0302</v>
      </c>
      <c r="M62" s="30">
        <f t="shared" si="11"/>
        <v>0</v>
      </c>
      <c r="N62" s="30">
        <f t="shared" si="7"/>
        <v>826543.1516</v>
      </c>
      <c r="O62" s="30">
        <f t="shared" si="12"/>
        <v>4947639.367</v>
      </c>
      <c r="P62" s="47">
        <f t="shared" si="8"/>
        <v>5774182.519</v>
      </c>
      <c r="Q62" s="30">
        <f t="shared" si="13"/>
        <v>627522.7021</v>
      </c>
      <c r="R62" s="30">
        <f t="shared" si="14"/>
        <v>5194083.257</v>
      </c>
      <c r="S62" s="28">
        <f t="shared" si="15"/>
        <v>39</v>
      </c>
    </row>
    <row r="63" ht="15.75" customHeight="1">
      <c r="A63" s="28">
        <v>52.0</v>
      </c>
      <c r="B63" s="28">
        <f t="shared" si="1"/>
        <v>5</v>
      </c>
      <c r="C63" s="28">
        <f t="shared" si="2"/>
        <v>4</v>
      </c>
      <c r="D63" s="38">
        <f t="array" ref="D63">IF(B63=1,INDEX(CALC_MONTHLY!$B$66:$M$66,C63),INDEX(CALC_PL!$B$19:$F$19,B63)/12)</f>
        <v>1833080.668</v>
      </c>
      <c r="E63" s="38">
        <f t="array" ref="E63">IF(B63=1,INDEX(CALC_MONTHLY!$B$7:$M$7,C63)*CALC_PL!$B$11+INDEX(CALC_MONTHLY!$B$8:$M$8,C63)*CALC_PL!$B$12,INDEX(CALC_PL!$B$24:$F$24,B63)/12)</f>
        <v>519667.0302</v>
      </c>
      <c r="F63" s="38">
        <f t="array" ref="F63">INDEX(CALC_PL!$B$40:$F$40,B63)/12</f>
        <v>486870.4866</v>
      </c>
      <c r="G63" s="30">
        <f t="shared" si="3"/>
        <v>826543.1516</v>
      </c>
      <c r="H63" s="30">
        <f t="shared" si="4"/>
        <v>1527567.224</v>
      </c>
      <c r="I63" s="30">
        <f t="shared" si="9"/>
        <v>0</v>
      </c>
      <c r="J63" s="30">
        <f t="shared" si="5"/>
        <v>779500.5453</v>
      </c>
      <c r="K63" s="30">
        <f t="shared" si="10"/>
        <v>0</v>
      </c>
      <c r="L63" s="30">
        <f t="shared" si="6"/>
        <v>519667.0302</v>
      </c>
      <c r="M63" s="30">
        <f t="shared" si="11"/>
        <v>0</v>
      </c>
      <c r="N63" s="30">
        <f t="shared" si="7"/>
        <v>826543.1516</v>
      </c>
      <c r="O63" s="30">
        <f t="shared" si="12"/>
        <v>5774182.519</v>
      </c>
      <c r="P63" s="47">
        <f t="shared" si="8"/>
        <v>6600725.67</v>
      </c>
      <c r="Q63" s="30">
        <f t="shared" si="13"/>
        <v>627522.7021</v>
      </c>
      <c r="R63" s="30">
        <f t="shared" si="14"/>
        <v>6020626.409</v>
      </c>
      <c r="S63" s="28">
        <f t="shared" si="15"/>
        <v>39</v>
      </c>
    </row>
    <row r="64" ht="15.75" customHeight="1">
      <c r="A64" s="28">
        <v>53.0</v>
      </c>
      <c r="B64" s="28">
        <f t="shared" si="1"/>
        <v>5</v>
      </c>
      <c r="C64" s="28">
        <f t="shared" si="2"/>
        <v>5</v>
      </c>
      <c r="D64" s="38">
        <f t="array" ref="D64">IF(B64=1,INDEX(CALC_MONTHLY!$B$66:$M$66,C64),INDEX(CALC_PL!$B$19:$F$19,B64)/12)</f>
        <v>1833080.668</v>
      </c>
      <c r="E64" s="38">
        <f t="array" ref="E64">IF(B64=1,INDEX(CALC_MONTHLY!$B$7:$M$7,C64)*CALC_PL!$B$11+INDEX(CALC_MONTHLY!$B$8:$M$8,C64)*CALC_PL!$B$12,INDEX(CALC_PL!$B$24:$F$24,B64)/12)</f>
        <v>519667.0302</v>
      </c>
      <c r="F64" s="38">
        <f t="array" ref="F64">INDEX(CALC_PL!$B$40:$F$40,B64)/12</f>
        <v>486870.4866</v>
      </c>
      <c r="G64" s="30">
        <f t="shared" si="3"/>
        <v>826543.1516</v>
      </c>
      <c r="H64" s="30">
        <f t="shared" si="4"/>
        <v>1527567.224</v>
      </c>
      <c r="I64" s="30">
        <f t="shared" si="9"/>
        <v>0</v>
      </c>
      <c r="J64" s="30">
        <f t="shared" si="5"/>
        <v>779500.5453</v>
      </c>
      <c r="K64" s="30">
        <f t="shared" si="10"/>
        <v>0</v>
      </c>
      <c r="L64" s="30">
        <f t="shared" si="6"/>
        <v>519667.0302</v>
      </c>
      <c r="M64" s="30">
        <f t="shared" si="11"/>
        <v>0</v>
      </c>
      <c r="N64" s="30">
        <f t="shared" si="7"/>
        <v>826543.1516</v>
      </c>
      <c r="O64" s="30">
        <f t="shared" si="12"/>
        <v>6600725.67</v>
      </c>
      <c r="P64" s="47">
        <f t="shared" si="8"/>
        <v>7427268.822</v>
      </c>
      <c r="Q64" s="30">
        <f t="shared" si="13"/>
        <v>627522.7021</v>
      </c>
      <c r="R64" s="30">
        <f t="shared" si="14"/>
        <v>6847169.56</v>
      </c>
      <c r="S64" s="28">
        <f t="shared" si="15"/>
        <v>39</v>
      </c>
    </row>
    <row r="65" ht="15.75" customHeight="1">
      <c r="A65" s="28">
        <v>54.0</v>
      </c>
      <c r="B65" s="28">
        <f t="shared" si="1"/>
        <v>5</v>
      </c>
      <c r="C65" s="28">
        <f t="shared" si="2"/>
        <v>6</v>
      </c>
      <c r="D65" s="38">
        <f t="array" ref="D65">IF(B65=1,INDEX(CALC_MONTHLY!$B$66:$M$66,C65),INDEX(CALC_PL!$B$19:$F$19,B65)/12)</f>
        <v>1833080.668</v>
      </c>
      <c r="E65" s="38">
        <f t="array" ref="E65">IF(B65=1,INDEX(CALC_MONTHLY!$B$7:$M$7,C65)*CALC_PL!$B$11+INDEX(CALC_MONTHLY!$B$8:$M$8,C65)*CALC_PL!$B$12,INDEX(CALC_PL!$B$24:$F$24,B65)/12)</f>
        <v>519667.0302</v>
      </c>
      <c r="F65" s="38">
        <f t="array" ref="F65">INDEX(CALC_PL!$B$40:$F$40,B65)/12</f>
        <v>486870.4866</v>
      </c>
      <c r="G65" s="30">
        <f t="shared" si="3"/>
        <v>826543.1516</v>
      </c>
      <c r="H65" s="30">
        <f t="shared" si="4"/>
        <v>1527567.224</v>
      </c>
      <c r="I65" s="30">
        <f t="shared" si="9"/>
        <v>0</v>
      </c>
      <c r="J65" s="30">
        <f t="shared" si="5"/>
        <v>779500.5453</v>
      </c>
      <c r="K65" s="30">
        <f t="shared" si="10"/>
        <v>0</v>
      </c>
      <c r="L65" s="30">
        <f t="shared" si="6"/>
        <v>519667.0302</v>
      </c>
      <c r="M65" s="30">
        <f t="shared" si="11"/>
        <v>0</v>
      </c>
      <c r="N65" s="30">
        <f t="shared" si="7"/>
        <v>826543.1516</v>
      </c>
      <c r="O65" s="30">
        <f t="shared" si="12"/>
        <v>7427268.822</v>
      </c>
      <c r="P65" s="47">
        <f t="shared" si="8"/>
        <v>8253811.973</v>
      </c>
      <c r="Q65" s="30">
        <f t="shared" si="13"/>
        <v>627522.7021</v>
      </c>
      <c r="R65" s="30">
        <f t="shared" si="14"/>
        <v>7673712.712</v>
      </c>
      <c r="S65" s="28">
        <f t="shared" si="15"/>
        <v>39</v>
      </c>
    </row>
    <row r="66" ht="15.75" customHeight="1">
      <c r="A66" s="28">
        <v>55.0</v>
      </c>
      <c r="B66" s="28">
        <f t="shared" si="1"/>
        <v>5</v>
      </c>
      <c r="C66" s="28">
        <f t="shared" si="2"/>
        <v>7</v>
      </c>
      <c r="D66" s="38">
        <f t="array" ref="D66">IF(B66=1,INDEX(CALC_MONTHLY!$B$66:$M$66,C66),INDEX(CALC_PL!$B$19:$F$19,B66)/12)</f>
        <v>1833080.668</v>
      </c>
      <c r="E66" s="38">
        <f t="array" ref="E66">IF(B66=1,INDEX(CALC_MONTHLY!$B$7:$M$7,C66)*CALC_PL!$B$11+INDEX(CALC_MONTHLY!$B$8:$M$8,C66)*CALC_PL!$B$12,INDEX(CALC_PL!$B$24:$F$24,B66)/12)</f>
        <v>519667.0302</v>
      </c>
      <c r="F66" s="38">
        <f t="array" ref="F66">INDEX(CALC_PL!$B$40:$F$40,B66)/12</f>
        <v>486870.4866</v>
      </c>
      <c r="G66" s="30">
        <f t="shared" si="3"/>
        <v>826543.1516</v>
      </c>
      <c r="H66" s="30">
        <f t="shared" si="4"/>
        <v>1527567.224</v>
      </c>
      <c r="I66" s="30">
        <f t="shared" si="9"/>
        <v>0</v>
      </c>
      <c r="J66" s="30">
        <f t="shared" si="5"/>
        <v>779500.5453</v>
      </c>
      <c r="K66" s="30">
        <f t="shared" si="10"/>
        <v>0</v>
      </c>
      <c r="L66" s="30">
        <f t="shared" si="6"/>
        <v>519667.0302</v>
      </c>
      <c r="M66" s="30">
        <f t="shared" si="11"/>
        <v>0</v>
      </c>
      <c r="N66" s="30">
        <f t="shared" si="7"/>
        <v>826543.1516</v>
      </c>
      <c r="O66" s="30">
        <f t="shared" si="12"/>
        <v>8253811.973</v>
      </c>
      <c r="P66" s="47">
        <f t="shared" si="8"/>
        <v>9080355.125</v>
      </c>
      <c r="Q66" s="30">
        <f t="shared" si="13"/>
        <v>627522.7021</v>
      </c>
      <c r="R66" s="30">
        <f t="shared" si="14"/>
        <v>8500255.864</v>
      </c>
      <c r="S66" s="28">
        <f t="shared" si="15"/>
        <v>39</v>
      </c>
    </row>
    <row r="67" ht="15.75" customHeight="1">
      <c r="A67" s="28">
        <v>56.0</v>
      </c>
      <c r="B67" s="28">
        <f t="shared" si="1"/>
        <v>5</v>
      </c>
      <c r="C67" s="28">
        <f t="shared" si="2"/>
        <v>8</v>
      </c>
      <c r="D67" s="38">
        <f t="array" ref="D67">IF(B67=1,INDEX(CALC_MONTHLY!$B$66:$M$66,C67),INDEX(CALC_PL!$B$19:$F$19,B67)/12)</f>
        <v>1833080.668</v>
      </c>
      <c r="E67" s="38">
        <f t="array" ref="E67">IF(B67=1,INDEX(CALC_MONTHLY!$B$7:$M$7,C67)*CALC_PL!$B$11+INDEX(CALC_MONTHLY!$B$8:$M$8,C67)*CALC_PL!$B$12,INDEX(CALC_PL!$B$24:$F$24,B67)/12)</f>
        <v>519667.0302</v>
      </c>
      <c r="F67" s="38">
        <f t="array" ref="F67">INDEX(CALC_PL!$B$40:$F$40,B67)/12</f>
        <v>486870.4866</v>
      </c>
      <c r="G67" s="30">
        <f t="shared" si="3"/>
        <v>826543.1516</v>
      </c>
      <c r="H67" s="30">
        <f t="shared" si="4"/>
        <v>1527567.224</v>
      </c>
      <c r="I67" s="30">
        <f t="shared" si="9"/>
        <v>0</v>
      </c>
      <c r="J67" s="30">
        <f t="shared" si="5"/>
        <v>779500.5453</v>
      </c>
      <c r="K67" s="30">
        <f t="shared" si="10"/>
        <v>0</v>
      </c>
      <c r="L67" s="30">
        <f t="shared" si="6"/>
        <v>519667.0302</v>
      </c>
      <c r="M67" s="30">
        <f t="shared" si="11"/>
        <v>0</v>
      </c>
      <c r="N67" s="30">
        <f t="shared" si="7"/>
        <v>826543.1516</v>
      </c>
      <c r="O67" s="30">
        <f t="shared" si="12"/>
        <v>9080355.125</v>
      </c>
      <c r="P67" s="47">
        <f t="shared" si="8"/>
        <v>9906898.276</v>
      </c>
      <c r="Q67" s="30">
        <f t="shared" si="13"/>
        <v>627522.7021</v>
      </c>
      <c r="R67" s="30">
        <f t="shared" si="14"/>
        <v>9326799.015</v>
      </c>
      <c r="S67" s="28">
        <f t="shared" si="15"/>
        <v>39</v>
      </c>
    </row>
    <row r="68" ht="15.75" customHeight="1">
      <c r="A68" s="28">
        <v>57.0</v>
      </c>
      <c r="B68" s="28">
        <f t="shared" si="1"/>
        <v>5</v>
      </c>
      <c r="C68" s="28">
        <f t="shared" si="2"/>
        <v>9</v>
      </c>
      <c r="D68" s="38">
        <f t="array" ref="D68">IF(B68=1,INDEX(CALC_MONTHLY!$B$66:$M$66,C68),INDEX(CALC_PL!$B$19:$F$19,B68)/12)</f>
        <v>1833080.668</v>
      </c>
      <c r="E68" s="38">
        <f t="array" ref="E68">IF(B68=1,INDEX(CALC_MONTHLY!$B$7:$M$7,C68)*CALC_PL!$B$11+INDEX(CALC_MONTHLY!$B$8:$M$8,C68)*CALC_PL!$B$12,INDEX(CALC_PL!$B$24:$F$24,B68)/12)</f>
        <v>519667.0302</v>
      </c>
      <c r="F68" s="38">
        <f t="array" ref="F68">INDEX(CALC_PL!$B$40:$F$40,B68)/12</f>
        <v>486870.4866</v>
      </c>
      <c r="G68" s="30">
        <f t="shared" si="3"/>
        <v>826543.1516</v>
      </c>
      <c r="H68" s="30">
        <f t="shared" si="4"/>
        <v>1527567.224</v>
      </c>
      <c r="I68" s="30">
        <f t="shared" si="9"/>
        <v>0</v>
      </c>
      <c r="J68" s="30">
        <f t="shared" si="5"/>
        <v>779500.5453</v>
      </c>
      <c r="K68" s="30">
        <f t="shared" si="10"/>
        <v>0</v>
      </c>
      <c r="L68" s="30">
        <f t="shared" si="6"/>
        <v>519667.0302</v>
      </c>
      <c r="M68" s="30">
        <f t="shared" si="11"/>
        <v>0</v>
      </c>
      <c r="N68" s="30">
        <f t="shared" si="7"/>
        <v>826543.1516</v>
      </c>
      <c r="O68" s="30">
        <f t="shared" si="12"/>
        <v>9906898.276</v>
      </c>
      <c r="P68" s="47">
        <f t="shared" si="8"/>
        <v>10733441.43</v>
      </c>
      <c r="Q68" s="30">
        <f t="shared" si="13"/>
        <v>627522.7021</v>
      </c>
      <c r="R68" s="30">
        <f t="shared" si="14"/>
        <v>10153342.17</v>
      </c>
      <c r="S68" s="28">
        <f t="shared" si="15"/>
        <v>39</v>
      </c>
    </row>
    <row r="69" ht="15.75" customHeight="1">
      <c r="A69" s="28">
        <v>58.0</v>
      </c>
      <c r="B69" s="28">
        <f t="shared" si="1"/>
        <v>5</v>
      </c>
      <c r="C69" s="28">
        <f t="shared" si="2"/>
        <v>10</v>
      </c>
      <c r="D69" s="38">
        <f t="array" ref="D69">IF(B69=1,INDEX(CALC_MONTHLY!$B$66:$M$66,C69),INDEX(CALC_PL!$B$19:$F$19,B69)/12)</f>
        <v>1833080.668</v>
      </c>
      <c r="E69" s="38">
        <f t="array" ref="E69">IF(B69=1,INDEX(CALC_MONTHLY!$B$7:$M$7,C69)*CALC_PL!$B$11+INDEX(CALC_MONTHLY!$B$8:$M$8,C69)*CALC_PL!$B$12,INDEX(CALC_PL!$B$24:$F$24,B69)/12)</f>
        <v>519667.0302</v>
      </c>
      <c r="F69" s="38">
        <f t="array" ref="F69">INDEX(CALC_PL!$B$40:$F$40,B69)/12</f>
        <v>486870.4866</v>
      </c>
      <c r="G69" s="30">
        <f t="shared" si="3"/>
        <v>826543.1516</v>
      </c>
      <c r="H69" s="30">
        <f t="shared" si="4"/>
        <v>1527567.224</v>
      </c>
      <c r="I69" s="30">
        <f t="shared" si="9"/>
        <v>0</v>
      </c>
      <c r="J69" s="30">
        <f t="shared" si="5"/>
        <v>779500.5453</v>
      </c>
      <c r="K69" s="30">
        <f t="shared" si="10"/>
        <v>0</v>
      </c>
      <c r="L69" s="30">
        <f t="shared" si="6"/>
        <v>519667.0302</v>
      </c>
      <c r="M69" s="30">
        <f t="shared" si="11"/>
        <v>0</v>
      </c>
      <c r="N69" s="30">
        <f t="shared" si="7"/>
        <v>826543.1516</v>
      </c>
      <c r="O69" s="30">
        <f t="shared" si="12"/>
        <v>10733441.43</v>
      </c>
      <c r="P69" s="47">
        <f t="shared" si="8"/>
        <v>11559984.58</v>
      </c>
      <c r="Q69" s="30">
        <f t="shared" si="13"/>
        <v>627522.7021</v>
      </c>
      <c r="R69" s="30">
        <f t="shared" si="14"/>
        <v>10979885.32</v>
      </c>
      <c r="S69" s="28">
        <f t="shared" si="15"/>
        <v>39</v>
      </c>
    </row>
    <row r="70" ht="15.75" customHeight="1">
      <c r="A70" s="28">
        <v>59.0</v>
      </c>
      <c r="B70" s="28">
        <f t="shared" si="1"/>
        <v>5</v>
      </c>
      <c r="C70" s="28">
        <f t="shared" si="2"/>
        <v>11</v>
      </c>
      <c r="D70" s="38">
        <f t="array" ref="D70">IF(B70=1,INDEX(CALC_MONTHLY!$B$66:$M$66,C70),INDEX(CALC_PL!$B$19:$F$19,B70)/12)</f>
        <v>1833080.668</v>
      </c>
      <c r="E70" s="38">
        <f t="array" ref="E70">IF(B70=1,INDEX(CALC_MONTHLY!$B$7:$M$7,C70)*CALC_PL!$B$11+INDEX(CALC_MONTHLY!$B$8:$M$8,C70)*CALC_PL!$B$12,INDEX(CALC_PL!$B$24:$F$24,B70)/12)</f>
        <v>519667.0302</v>
      </c>
      <c r="F70" s="38">
        <f t="array" ref="F70">INDEX(CALC_PL!$B$40:$F$40,B70)/12</f>
        <v>486870.4866</v>
      </c>
      <c r="G70" s="30">
        <f t="shared" si="3"/>
        <v>826543.1516</v>
      </c>
      <c r="H70" s="30">
        <f t="shared" si="4"/>
        <v>1527567.224</v>
      </c>
      <c r="I70" s="30">
        <f t="shared" si="9"/>
        <v>0</v>
      </c>
      <c r="J70" s="30">
        <f t="shared" si="5"/>
        <v>779500.5453</v>
      </c>
      <c r="K70" s="30">
        <f t="shared" si="10"/>
        <v>0</v>
      </c>
      <c r="L70" s="30">
        <f t="shared" si="6"/>
        <v>519667.0302</v>
      </c>
      <c r="M70" s="30">
        <f t="shared" si="11"/>
        <v>0</v>
      </c>
      <c r="N70" s="30">
        <f t="shared" si="7"/>
        <v>826543.1516</v>
      </c>
      <c r="O70" s="30">
        <f t="shared" si="12"/>
        <v>11559984.58</v>
      </c>
      <c r="P70" s="47">
        <f t="shared" si="8"/>
        <v>12386527.73</v>
      </c>
      <c r="Q70" s="30">
        <f t="shared" si="13"/>
        <v>627522.7021</v>
      </c>
      <c r="R70" s="30">
        <f t="shared" si="14"/>
        <v>11806428.47</v>
      </c>
      <c r="S70" s="28">
        <f t="shared" si="15"/>
        <v>39</v>
      </c>
    </row>
    <row r="71" ht="15.75" customHeight="1">
      <c r="A71" s="50">
        <v>60.0</v>
      </c>
      <c r="B71" s="50">
        <f t="shared" si="1"/>
        <v>5</v>
      </c>
      <c r="C71" s="50">
        <f t="shared" si="2"/>
        <v>12</v>
      </c>
      <c r="D71" s="51">
        <f t="array" ref="D71">IF(B71=1,INDEX(CALC_MONTHLY!$B$66:$M$66,C71),INDEX(CALC_PL!$B$19:$F$19,B71)/12)</f>
        <v>1833080.668</v>
      </c>
      <c r="E71" s="51">
        <f t="array" ref="E71">IF(B71=1,INDEX(CALC_MONTHLY!$B$7:$M$7,C71)*CALC_PL!$B$11+INDEX(CALC_MONTHLY!$B$8:$M$8,C71)*CALC_PL!$B$12,INDEX(CALC_PL!$B$24:$F$24,B71)/12)</f>
        <v>519667.0302</v>
      </c>
      <c r="F71" s="51">
        <f t="array" ref="F71">INDEX(CALC_PL!$B$40:$F$40,B71)/12</f>
        <v>486870.4866</v>
      </c>
      <c r="G71" s="52">
        <f t="shared" si="3"/>
        <v>826543.1516</v>
      </c>
      <c r="H71" s="52">
        <f t="shared" si="4"/>
        <v>1527567.224</v>
      </c>
      <c r="I71" s="52">
        <f t="shared" si="9"/>
        <v>0</v>
      </c>
      <c r="J71" s="52">
        <f t="shared" si="5"/>
        <v>779500.5453</v>
      </c>
      <c r="K71" s="52">
        <f t="shared" si="10"/>
        <v>0</v>
      </c>
      <c r="L71" s="52">
        <f t="shared" si="6"/>
        <v>519667.0302</v>
      </c>
      <c r="M71" s="52">
        <f t="shared" si="11"/>
        <v>0</v>
      </c>
      <c r="N71" s="52">
        <f t="shared" si="7"/>
        <v>826543.1516</v>
      </c>
      <c r="O71" s="52">
        <f t="shared" si="12"/>
        <v>12386527.73</v>
      </c>
      <c r="P71" s="48">
        <f t="shared" si="8"/>
        <v>13213070.88</v>
      </c>
      <c r="Q71" s="52">
        <f t="shared" si="13"/>
        <v>627522.7021</v>
      </c>
      <c r="R71" s="52">
        <f t="shared" si="14"/>
        <v>12632971.62</v>
      </c>
      <c r="S71" s="50">
        <f t="shared" si="15"/>
        <v>39</v>
      </c>
    </row>
    <row r="72" ht="15.75" customHeight="1"/>
    <row r="73" ht="18.0" customHeight="1">
      <c r="A73" s="5" t="s">
        <v>407</v>
      </c>
      <c r="B73" s="6"/>
      <c r="C73" s="6"/>
      <c r="D73" s="6"/>
      <c r="E73" s="6"/>
      <c r="F73" s="6"/>
      <c r="G73" s="6"/>
      <c r="H73" s="6"/>
    </row>
    <row r="74" ht="15.75" customHeight="1">
      <c r="A74" s="16" t="s">
        <v>408</v>
      </c>
      <c r="B74" s="47">
        <f>MIN(P12:P71)</f>
        <v>627522.7021</v>
      </c>
    </row>
    <row r="75" ht="15.75" customHeight="1">
      <c r="A75" s="8" t="s">
        <v>409</v>
      </c>
      <c r="B75" s="28">
        <f>MATCH(MIN(P12:P71),P12:P71,0)</f>
        <v>25</v>
      </c>
    </row>
    <row r="76" ht="15.75" customHeight="1">
      <c r="A76" s="8" t="s">
        <v>410</v>
      </c>
      <c r="B76" s="30">
        <f>P71</f>
        <v>13213070.88</v>
      </c>
    </row>
    <row r="77" ht="15.75" customHeight="1">
      <c r="A77" s="8" t="s">
        <v>411</v>
      </c>
      <c r="B77" s="30">
        <f>MIN(P12:P23)</f>
        <v>1694031.076</v>
      </c>
      <c r="C77" s="10" t="s">
        <v>412</v>
      </c>
    </row>
    <row r="78" ht="15.75" customHeight="1">
      <c r="A78" s="16" t="s">
        <v>413</v>
      </c>
      <c r="B78" s="30">
        <f>MIN(P24:P35)</f>
        <v>841476.1575</v>
      </c>
      <c r="C78" s="10" t="s">
        <v>414</v>
      </c>
    </row>
    <row r="79" ht="15.75" customHeight="1">
      <c r="A79" s="16" t="s">
        <v>415</v>
      </c>
      <c r="B79" s="30">
        <f>B9+MAX(0,-MIN(P12:P71))</f>
        <v>232500</v>
      </c>
      <c r="C79" s="10" t="s">
        <v>416</v>
      </c>
    </row>
    <row r="80" ht="15.75" customHeight="1">
      <c r="A80" s="16" t="s">
        <v>417</v>
      </c>
      <c r="B80" s="28">
        <f>IF(S71&gt;0,S71,"None in 60 mo")</f>
        <v>39</v>
      </c>
      <c r="C80" s="10" t="s">
        <v>418</v>
      </c>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44.0"/>
    <col customWidth="1" min="2" max="3" width="16.0"/>
    <col customWidth="1" min="4" max="4" width="9.0"/>
    <col customWidth="1" min="5" max="5" width="24.0"/>
    <col customWidth="1" min="6" max="6" width="56.0"/>
    <col customWidth="1" min="7" max="26" width="8.71"/>
  </cols>
  <sheetData>
    <row r="1" ht="21.75" customHeight="1">
      <c r="A1" s="1" t="s">
        <v>419</v>
      </c>
    </row>
    <row r="2">
      <c r="A2" s="10" t="s">
        <v>420</v>
      </c>
    </row>
    <row r="4">
      <c r="A4" s="7" t="s">
        <v>421</v>
      </c>
      <c r="B4" s="7" t="s">
        <v>422</v>
      </c>
      <c r="C4" s="7" t="s">
        <v>423</v>
      </c>
      <c r="D4" s="7" t="s">
        <v>424</v>
      </c>
      <c r="E4" s="7" t="s">
        <v>425</v>
      </c>
      <c r="F4" s="7" t="s">
        <v>63</v>
      </c>
    </row>
    <row r="5" ht="18.0" customHeight="1">
      <c r="A5" s="5" t="s">
        <v>426</v>
      </c>
      <c r="B5" s="6"/>
      <c r="C5" s="6"/>
      <c r="D5" s="6"/>
      <c r="E5" s="6"/>
      <c r="F5" s="6"/>
    </row>
    <row r="6">
      <c r="A6" s="8" t="s">
        <v>427</v>
      </c>
      <c r="B6" s="53" t="s">
        <v>428</v>
      </c>
      <c r="C6" s="54">
        <f>CALC_PL!B19</f>
        <v>299174.253</v>
      </c>
      <c r="D6" s="55" t="s">
        <v>429</v>
      </c>
      <c r="E6" s="31" t="s">
        <v>430</v>
      </c>
      <c r="F6" s="10"/>
    </row>
    <row r="7">
      <c r="A7" s="8" t="s">
        <v>431</v>
      </c>
      <c r="B7" s="53" t="s">
        <v>432</v>
      </c>
      <c r="C7" s="54">
        <f>CALC_PL!C19</f>
        <v>1247937.793</v>
      </c>
      <c r="D7" s="55" t="s">
        <v>429</v>
      </c>
      <c r="E7" s="31" t="s">
        <v>433</v>
      </c>
      <c r="F7" s="10"/>
    </row>
    <row r="8">
      <c r="A8" s="8" t="s">
        <v>434</v>
      </c>
      <c r="B8" s="53" t="s">
        <v>435</v>
      </c>
      <c r="C8" s="54">
        <f>CALC_PL!D19</f>
        <v>4495871.265</v>
      </c>
      <c r="D8" s="55" t="s">
        <v>429</v>
      </c>
      <c r="E8" s="31" t="s">
        <v>436</v>
      </c>
      <c r="F8" s="10"/>
    </row>
    <row r="9">
      <c r="A9" s="8" t="s">
        <v>437</v>
      </c>
      <c r="B9" s="53" t="s">
        <v>438</v>
      </c>
      <c r="C9" s="54">
        <f>CALC_PL!E19</f>
        <v>10498105.25</v>
      </c>
      <c r="D9" s="55" t="s">
        <v>429</v>
      </c>
      <c r="E9" s="31" t="s">
        <v>439</v>
      </c>
      <c r="F9" s="10"/>
    </row>
    <row r="10">
      <c r="A10" s="8" t="s">
        <v>440</v>
      </c>
      <c r="B10" s="53" t="s">
        <v>441</v>
      </c>
      <c r="C10" s="54">
        <f>CALC_PL!F19</f>
        <v>21996968.02</v>
      </c>
      <c r="D10" s="55" t="s">
        <v>429</v>
      </c>
      <c r="E10" s="31" t="s">
        <v>442</v>
      </c>
      <c r="F10" s="10"/>
    </row>
    <row r="11">
      <c r="A11" s="8" t="s">
        <v>443</v>
      </c>
      <c r="B11" s="53" t="s">
        <v>444</v>
      </c>
      <c r="C11" s="54">
        <f>CALC_PL!G19</f>
        <v>38538056.58</v>
      </c>
      <c r="D11" s="55" t="s">
        <v>429</v>
      </c>
      <c r="E11" s="31" t="s">
        <v>445</v>
      </c>
      <c r="F11" s="10"/>
    </row>
    <row r="12" ht="18.0" customHeight="1">
      <c r="A12" s="5" t="s">
        <v>446</v>
      </c>
      <c r="B12" s="6"/>
      <c r="C12" s="6"/>
      <c r="D12" s="6"/>
      <c r="E12" s="6"/>
      <c r="F12" s="6"/>
    </row>
    <row r="13">
      <c r="A13" s="8" t="s">
        <v>447</v>
      </c>
      <c r="B13" s="53" t="s">
        <v>448</v>
      </c>
      <c r="C13" s="54">
        <f>CALC_PL!B42</f>
        <v>-615558.8244</v>
      </c>
      <c r="D13" s="55" t="s">
        <v>429</v>
      </c>
      <c r="E13" s="31" t="s">
        <v>449</v>
      </c>
      <c r="F13" s="10"/>
    </row>
    <row r="14">
      <c r="A14" s="8" t="s">
        <v>450</v>
      </c>
      <c r="B14" s="53" t="s">
        <v>451</v>
      </c>
      <c r="C14" s="54">
        <f>CALC_PL!C42</f>
        <v>-783896.6486</v>
      </c>
      <c r="D14" s="55" t="s">
        <v>429</v>
      </c>
      <c r="E14" s="31" t="s">
        <v>452</v>
      </c>
      <c r="F14" s="10"/>
    </row>
    <row r="15">
      <c r="A15" s="8" t="s">
        <v>453</v>
      </c>
      <c r="B15" s="53" t="s">
        <v>454</v>
      </c>
      <c r="C15" s="54">
        <f>CALC_PL!D42</f>
        <v>599313.6839</v>
      </c>
      <c r="D15" s="55" t="s">
        <v>429</v>
      </c>
      <c r="E15" s="31" t="s">
        <v>455</v>
      </c>
      <c r="F15" s="10" t="s">
        <v>456</v>
      </c>
    </row>
    <row r="16">
      <c r="A16" s="8" t="s">
        <v>457</v>
      </c>
      <c r="B16" s="53" t="s">
        <v>458</v>
      </c>
      <c r="C16" s="54">
        <f>CALC_PL!E42</f>
        <v>3533073.639</v>
      </c>
      <c r="D16" s="55" t="s">
        <v>429</v>
      </c>
      <c r="E16" s="31" t="s">
        <v>459</v>
      </c>
      <c r="F16" s="10"/>
    </row>
    <row r="17">
      <c r="A17" s="8" t="s">
        <v>460</v>
      </c>
      <c r="B17" s="53" t="s">
        <v>461</v>
      </c>
      <c r="C17" s="54">
        <f>CALC_PL!F42</f>
        <v>9918517.819</v>
      </c>
      <c r="D17" s="55" t="s">
        <v>429</v>
      </c>
      <c r="E17" s="31" t="s">
        <v>462</v>
      </c>
      <c r="F17" s="10"/>
    </row>
    <row r="18">
      <c r="A18" s="8" t="s">
        <v>463</v>
      </c>
      <c r="B18" s="53" t="s">
        <v>464</v>
      </c>
      <c r="C18" s="54">
        <f>CALC_PL!G42</f>
        <v>12651449.67</v>
      </c>
      <c r="D18" s="55" t="s">
        <v>429</v>
      </c>
      <c r="E18" s="31" t="s">
        <v>465</v>
      </c>
      <c r="F18" s="10"/>
    </row>
    <row r="19">
      <c r="A19" s="8" t="s">
        <v>466</v>
      </c>
      <c r="B19" s="53" t="s">
        <v>467</v>
      </c>
      <c r="C19" s="56">
        <f>CALC_PL!D26</f>
        <v>0.6809162942</v>
      </c>
      <c r="D19" s="55" t="s">
        <v>429</v>
      </c>
      <c r="E19" s="31" t="s">
        <v>468</v>
      </c>
      <c r="F19" s="10"/>
    </row>
    <row r="20">
      <c r="A20" s="8" t="s">
        <v>469</v>
      </c>
      <c r="B20" s="53" t="s">
        <v>470</v>
      </c>
      <c r="C20" s="56">
        <f>CALC_PL!F26</f>
        <v>0.7165061859</v>
      </c>
      <c r="D20" s="55" t="s">
        <v>429</v>
      </c>
      <c r="E20" s="31" t="s">
        <v>471</v>
      </c>
      <c r="F20" s="10"/>
    </row>
    <row r="21" ht="15.75" customHeight="1">
      <c r="A21" s="8" t="s">
        <v>472</v>
      </c>
      <c r="B21" s="53" t="s">
        <v>473</v>
      </c>
      <c r="C21" s="56">
        <f>CALC_PL!F43</f>
        <v>0.4509038614</v>
      </c>
      <c r="D21" s="55" t="s">
        <v>429</v>
      </c>
      <c r="E21" s="31" t="s">
        <v>474</v>
      </c>
      <c r="F21" s="10"/>
    </row>
    <row r="22" ht="18.0" customHeight="1">
      <c r="A22" s="5" t="s">
        <v>475</v>
      </c>
      <c r="B22" s="6"/>
      <c r="C22" s="6"/>
      <c r="D22" s="6"/>
      <c r="E22" s="6"/>
      <c r="F22" s="6"/>
    </row>
    <row r="23" ht="15.75" customHeight="1">
      <c r="A23" s="8" t="s">
        <v>476</v>
      </c>
      <c r="B23" s="53" t="s">
        <v>477</v>
      </c>
      <c r="C23" s="57">
        <f>INPUTS!$B$30</f>
        <v>3.5</v>
      </c>
      <c r="D23" s="55" t="s">
        <v>429</v>
      </c>
      <c r="E23" s="31" t="s">
        <v>478</v>
      </c>
      <c r="F23" s="10"/>
    </row>
    <row r="24" ht="15.75" customHeight="1">
      <c r="A24" s="8" t="s">
        <v>479</v>
      </c>
      <c r="B24" s="53" t="s">
        <v>480</v>
      </c>
      <c r="C24" s="57">
        <f t="array" ref="C24">INDEX(CALC_COGS!I7:I13,3)</f>
        <v>1.82818</v>
      </c>
      <c r="D24" s="55" t="s">
        <v>429</v>
      </c>
      <c r="E24" s="31" t="s">
        <v>481</v>
      </c>
      <c r="F24" s="10" t="s">
        <v>482</v>
      </c>
    </row>
    <row r="25" ht="15.75" customHeight="1">
      <c r="A25" s="8" t="s">
        <v>483</v>
      </c>
      <c r="B25" s="53" t="s">
        <v>484</v>
      </c>
      <c r="C25" s="57">
        <f t="array" ref="C25">INDEX(CALC_COGS!I7:I13,6)</f>
        <v>1.388987104</v>
      </c>
      <c r="D25" s="55" t="s">
        <v>429</v>
      </c>
      <c r="E25" s="31" t="s">
        <v>485</v>
      </c>
      <c r="F25" s="10" t="s">
        <v>482</v>
      </c>
    </row>
    <row r="26" ht="15.75" customHeight="1">
      <c r="A26" s="8" t="s">
        <v>486</v>
      </c>
      <c r="B26" s="53" t="s">
        <v>487</v>
      </c>
      <c r="C26" s="57">
        <f t="array" ref="C26">INDEX(CALC_COGS!I7:I13,3)</f>
        <v>1.82818</v>
      </c>
      <c r="D26" s="58" t="s">
        <v>488</v>
      </c>
      <c r="E26" s="31" t="s">
        <v>481</v>
      </c>
      <c r="F26" s="10" t="s">
        <v>489</v>
      </c>
    </row>
    <row r="27" ht="15.75" customHeight="1">
      <c r="A27" s="8" t="s">
        <v>490</v>
      </c>
      <c r="B27" s="53" t="s">
        <v>491</v>
      </c>
      <c r="C27" s="57">
        <f t="array" ref="C27">INDEX(CALC_COGS!I7:I13,4)</f>
        <v>1.6401648</v>
      </c>
      <c r="D27" s="58" t="s">
        <v>488</v>
      </c>
      <c r="E27" s="31" t="s">
        <v>492</v>
      </c>
      <c r="F27" s="10" t="s">
        <v>493</v>
      </c>
    </row>
    <row r="28" ht="18.0" customHeight="1">
      <c r="A28" s="5" t="s">
        <v>494</v>
      </c>
      <c r="B28" s="6"/>
      <c r="C28" s="6"/>
      <c r="D28" s="6"/>
      <c r="E28" s="6"/>
      <c r="F28" s="6"/>
    </row>
    <row r="29" ht="15.75" customHeight="1">
      <c r="A29" s="8" t="s">
        <v>495</v>
      </c>
      <c r="B29" s="53" t="s">
        <v>496</v>
      </c>
      <c r="C29" s="54">
        <f>CALC_CASH!$B$78</f>
        <v>841476.1575</v>
      </c>
      <c r="D29" s="59" t="s">
        <v>497</v>
      </c>
      <c r="E29" s="31" t="s">
        <v>498</v>
      </c>
      <c r="F29" s="10" t="s">
        <v>499</v>
      </c>
    </row>
    <row r="30" ht="15.75" customHeight="1">
      <c r="A30" s="8" t="s">
        <v>500</v>
      </c>
      <c r="B30" s="53" t="s">
        <v>501</v>
      </c>
      <c r="C30" s="54">
        <f>CALC_CASH!$B$76</f>
        <v>13213070.88</v>
      </c>
      <c r="D30" s="59" t="s">
        <v>497</v>
      </c>
      <c r="E30" s="31" t="s">
        <v>498</v>
      </c>
      <c r="F30" s="10" t="s">
        <v>502</v>
      </c>
    </row>
    <row r="31" ht="15.75" customHeight="1">
      <c r="A31" s="8" t="s">
        <v>503</v>
      </c>
      <c r="B31" s="53" t="s">
        <v>504</v>
      </c>
      <c r="C31" s="54">
        <f>CALC_CASH!$B$79</f>
        <v>232500</v>
      </c>
      <c r="D31" s="59" t="s">
        <v>497</v>
      </c>
      <c r="E31" s="31" t="s">
        <v>498</v>
      </c>
      <c r="F31" s="10" t="s">
        <v>505</v>
      </c>
    </row>
    <row r="32" ht="15.75" customHeight="1">
      <c r="A32" s="8" t="s">
        <v>506</v>
      </c>
      <c r="B32" s="53" t="s">
        <v>507</v>
      </c>
      <c r="C32" s="60">
        <f>CALC_CASH!$B$80</f>
        <v>39</v>
      </c>
      <c r="D32" s="59" t="s">
        <v>497</v>
      </c>
      <c r="E32" s="31" t="s">
        <v>498</v>
      </c>
      <c r="F32" s="10" t="s">
        <v>508</v>
      </c>
    </row>
    <row r="33" ht="15.75" customHeight="1">
      <c r="A33" s="8" t="s">
        <v>509</v>
      </c>
      <c r="B33" s="53" t="s">
        <v>510</v>
      </c>
      <c r="C33" s="54">
        <f>CALC_CASH!$B$74</f>
        <v>627522.7021</v>
      </c>
      <c r="D33" s="61" t="s">
        <v>511</v>
      </c>
      <c r="E33" s="31" t="s">
        <v>498</v>
      </c>
      <c r="F33" s="10" t="s">
        <v>512</v>
      </c>
    </row>
    <row r="34" ht="18.0" customHeight="1">
      <c r="A34" s="5" t="s">
        <v>513</v>
      </c>
      <c r="B34" s="6"/>
      <c r="C34" s="6"/>
      <c r="D34" s="6"/>
      <c r="E34" s="6"/>
      <c r="F34" s="6"/>
    </row>
    <row r="35" ht="15.75" customHeight="1">
      <c r="A35" s="8" t="s">
        <v>514</v>
      </c>
      <c r="B35" s="53" t="s">
        <v>515</v>
      </c>
      <c r="C35" s="60">
        <f>CALC_PL!B7+CALC_PL!B8</f>
        <v>137500</v>
      </c>
      <c r="D35" s="59" t="s">
        <v>497</v>
      </c>
      <c r="E35" s="31" t="s">
        <v>516</v>
      </c>
      <c r="F35" s="10" t="s">
        <v>517</v>
      </c>
    </row>
    <row r="36" ht="15.75" customHeight="1">
      <c r="A36" s="8" t="s">
        <v>518</v>
      </c>
      <c r="B36" s="53" t="s">
        <v>519</v>
      </c>
      <c r="C36" s="60">
        <f>CALC_PL!F7+CALC_PL!F8</f>
        <v>1837000</v>
      </c>
      <c r="D36" s="59" t="s">
        <v>497</v>
      </c>
      <c r="E36" s="31" t="s">
        <v>520</v>
      </c>
      <c r="F36" s="10" t="s">
        <v>521</v>
      </c>
    </row>
    <row r="37" ht="15.75" customHeight="1">
      <c r="A37" s="8" t="s">
        <v>522</v>
      </c>
      <c r="B37" s="53" t="s">
        <v>523</v>
      </c>
      <c r="C37" s="60">
        <f>CALC_PL!D10</f>
        <v>5</v>
      </c>
      <c r="D37" s="55" t="s">
        <v>429</v>
      </c>
      <c r="E37" s="31" t="s">
        <v>524</v>
      </c>
      <c r="F37" s="10" t="s">
        <v>525</v>
      </c>
    </row>
    <row r="38" ht="18.0" customHeight="1">
      <c r="A38" s="5" t="s">
        <v>526</v>
      </c>
      <c r="B38" s="6"/>
      <c r="C38" s="6"/>
      <c r="D38" s="6"/>
      <c r="E38" s="6"/>
      <c r="F38" s="6"/>
    </row>
    <row r="39" ht="15.75" customHeight="1">
      <c r="A39" s="8" t="s">
        <v>527</v>
      </c>
      <c r="B39" s="53" t="s">
        <v>528</v>
      </c>
      <c r="C39" s="54">
        <f>INPUTS!$B$129</f>
        <v>2500000</v>
      </c>
      <c r="D39" s="55" t="s">
        <v>429</v>
      </c>
      <c r="E39" s="31" t="s">
        <v>25</v>
      </c>
      <c r="F39" s="10"/>
    </row>
    <row r="40" ht="15.75" customHeight="1">
      <c r="A40" s="8" t="s">
        <v>230</v>
      </c>
      <c r="B40" s="53" t="s">
        <v>529</v>
      </c>
      <c r="C40" s="54">
        <f>INPUTS!$B$128</f>
        <v>100000</v>
      </c>
      <c r="D40" s="55" t="s">
        <v>429</v>
      </c>
      <c r="E40" s="31" t="s">
        <v>25</v>
      </c>
      <c r="F40" s="10"/>
    </row>
    <row r="41" ht="15.75" customHeight="1">
      <c r="A41" s="8" t="s">
        <v>530</v>
      </c>
      <c r="B41" s="53" t="s">
        <v>531</v>
      </c>
      <c r="C41" s="54">
        <f>INPUTS!$B$125</f>
        <v>232500</v>
      </c>
      <c r="D41" s="55" t="s">
        <v>429</v>
      </c>
      <c r="E41" s="31" t="s">
        <v>532</v>
      </c>
      <c r="F41" s="10" t="s">
        <v>533</v>
      </c>
    </row>
    <row r="42" ht="15.75" customHeight="1">
      <c r="A42" s="8" t="s">
        <v>534</v>
      </c>
      <c r="B42" s="53" t="s">
        <v>535</v>
      </c>
      <c r="C42" s="56">
        <f>INPUTS!$B$5</f>
        <v>0.02</v>
      </c>
      <c r="D42" s="55" t="s">
        <v>429</v>
      </c>
      <c r="E42" s="31" t="s">
        <v>25</v>
      </c>
      <c r="F42" s="10"/>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2.14"/>
    <col customWidth="1" min="2" max="2" width="32.86"/>
    <col customWidth="1" min="3" max="7" width="14.0"/>
    <col customWidth="1" min="8" max="8" width="40.0"/>
    <col customWidth="1" min="9" max="26" width="8.71"/>
  </cols>
  <sheetData>
    <row r="1" ht="21.75" customHeight="1">
      <c r="A1" s="1" t="s">
        <v>536</v>
      </c>
    </row>
    <row r="2">
      <c r="A2" s="10" t="s">
        <v>537</v>
      </c>
    </row>
    <row r="4" ht="18.0" customHeight="1">
      <c r="A4" s="5" t="s">
        <v>538</v>
      </c>
      <c r="B4" s="6"/>
      <c r="C4" s="6"/>
      <c r="D4" s="6"/>
      <c r="E4" s="6"/>
      <c r="F4" s="6"/>
      <c r="G4" s="6"/>
      <c r="H4" s="6"/>
    </row>
    <row r="5">
      <c r="A5" s="10" t="s">
        <v>539</v>
      </c>
    </row>
    <row r="6">
      <c r="A6" s="8" t="s">
        <v>540</v>
      </c>
      <c r="B6" s="38">
        <f>CALC_PL!B17</f>
        <v>299174.253</v>
      </c>
      <c r="H6" s="10" t="s">
        <v>541</v>
      </c>
    </row>
    <row r="7">
      <c r="A7" s="8" t="s">
        <v>542</v>
      </c>
      <c r="B7" s="38">
        <f>CALC_MONTHLY!N66</f>
        <v>280696.206</v>
      </c>
      <c r="H7" s="10" t="s">
        <v>543</v>
      </c>
    </row>
    <row r="8">
      <c r="A8" s="16" t="s">
        <v>544</v>
      </c>
      <c r="B8" s="47">
        <f>B6-B7</f>
        <v>18478.047</v>
      </c>
      <c r="H8" s="10" t="s">
        <v>545</v>
      </c>
    </row>
    <row r="9">
      <c r="A9" s="16" t="s">
        <v>546</v>
      </c>
      <c r="B9" s="62">
        <f>B8/B6</f>
        <v>0.0617634934</v>
      </c>
    </row>
    <row r="11" ht="18.0" customHeight="1">
      <c r="A11" s="5" t="s">
        <v>547</v>
      </c>
      <c r="B11" s="6"/>
      <c r="C11" s="6"/>
      <c r="D11" s="6"/>
      <c r="E11" s="6"/>
      <c r="F11" s="6"/>
      <c r="G11" s="6"/>
      <c r="H11" s="6"/>
    </row>
    <row r="12">
      <c r="A12" s="10" t="s">
        <v>548</v>
      </c>
    </row>
    <row r="13">
      <c r="A13" s="7" t="s">
        <v>272</v>
      </c>
      <c r="B13" s="7" t="s">
        <v>273</v>
      </c>
      <c r="C13" s="7" t="s">
        <v>549</v>
      </c>
      <c r="D13" s="7" t="s">
        <v>550</v>
      </c>
      <c r="E13" s="7" t="s">
        <v>551</v>
      </c>
      <c r="F13" s="7" t="s">
        <v>552</v>
      </c>
      <c r="G13" s="7" t="s">
        <v>553</v>
      </c>
      <c r="H13" s="7" t="s">
        <v>551</v>
      </c>
    </row>
    <row r="14">
      <c r="A14" s="8" t="s">
        <v>554</v>
      </c>
      <c r="B14" s="39">
        <f>CALC_COGS!C7</f>
        <v>500</v>
      </c>
      <c r="C14" s="34">
        <f>CALC_COGS!I7</f>
        <v>13.92388</v>
      </c>
      <c r="D14" s="34">
        <f>CALC_COGS!K7</f>
        <v>3.92388</v>
      </c>
      <c r="E14" s="35">
        <f t="shared" ref="E14:E20" si="1">C14-D14</f>
        <v>10</v>
      </c>
      <c r="F14" s="34">
        <f>CALC_COGS!I18</f>
        <v>12.63954</v>
      </c>
      <c r="G14" s="34">
        <f>CALC_COGS!K18</f>
        <v>2.63954</v>
      </c>
      <c r="H14" s="35">
        <f t="shared" ref="H14:H20" si="2">F14-G14</f>
        <v>10</v>
      </c>
    </row>
    <row r="15">
      <c r="A15" s="8" t="s">
        <v>555</v>
      </c>
      <c r="B15" s="39">
        <f>CALC_COGS!C8</f>
        <v>5000</v>
      </c>
      <c r="C15" s="34">
        <f>CALC_COGS!I8</f>
        <v>3.04968</v>
      </c>
      <c r="D15" s="34">
        <f>CALC_COGS!K8</f>
        <v>2.04968</v>
      </c>
      <c r="E15" s="35">
        <f t="shared" si="1"/>
        <v>1</v>
      </c>
      <c r="F15" s="34">
        <f>CALC_COGS!I19</f>
        <v>1.86534</v>
      </c>
      <c r="G15" s="34">
        <f>CALC_COGS!K19</f>
        <v>0.86534</v>
      </c>
      <c r="H15" s="35">
        <f t="shared" si="2"/>
        <v>1</v>
      </c>
    </row>
    <row r="16">
      <c r="A16" s="8" t="s">
        <v>556</v>
      </c>
      <c r="B16" s="39">
        <f>CALC_COGS!C9</f>
        <v>50000</v>
      </c>
      <c r="C16" s="34">
        <f>CALC_COGS!I9</f>
        <v>1.82818</v>
      </c>
      <c r="D16" s="34">
        <f>CALC_COGS!K9</f>
        <v>1.72818</v>
      </c>
      <c r="E16" s="35">
        <f t="shared" si="1"/>
        <v>0.1</v>
      </c>
      <c r="F16" s="34">
        <f>CALC_COGS!I20</f>
        <v>0.72952</v>
      </c>
      <c r="G16" s="34">
        <f>CALC_COGS!K20</f>
        <v>0.62952</v>
      </c>
      <c r="H16" s="35">
        <f t="shared" si="2"/>
        <v>0.1</v>
      </c>
    </row>
    <row r="17">
      <c r="A17" s="8" t="s">
        <v>557</v>
      </c>
      <c r="B17" s="39">
        <f>CALC_COGS!C10</f>
        <v>250000</v>
      </c>
      <c r="C17" s="34">
        <f>CALC_COGS!I10</f>
        <v>1.6401648</v>
      </c>
      <c r="D17" s="34">
        <f>CALC_COGS!K10</f>
        <v>1.6201648</v>
      </c>
      <c r="E17" s="35">
        <f t="shared" si="1"/>
        <v>0.02</v>
      </c>
      <c r="F17" s="34">
        <f>CALC_COGS!I21</f>
        <v>0.5915048</v>
      </c>
      <c r="G17" s="34">
        <f>CALC_COGS!K21</f>
        <v>0.5715048</v>
      </c>
      <c r="H17" s="35">
        <f t="shared" si="2"/>
        <v>0.02</v>
      </c>
    </row>
    <row r="18">
      <c r="A18" s="8" t="s">
        <v>523</v>
      </c>
      <c r="B18" s="39">
        <f>CALC_COGS!C11</f>
        <v>750000</v>
      </c>
      <c r="C18" s="34">
        <f>CALC_COGS!I11</f>
        <v>1.463897333</v>
      </c>
      <c r="D18" s="34">
        <f>CALC_COGS!K11</f>
        <v>1.457230667</v>
      </c>
      <c r="E18" s="35">
        <f t="shared" si="1"/>
        <v>0.006666666667</v>
      </c>
      <c r="F18" s="34">
        <f>CALC_COGS!I22</f>
        <v>0.4969573333</v>
      </c>
      <c r="G18" s="34">
        <f>CALC_COGS!K22</f>
        <v>0.4902906667</v>
      </c>
      <c r="H18" s="35">
        <f t="shared" si="2"/>
        <v>0.006666666667</v>
      </c>
    </row>
    <row r="19">
      <c r="A19" s="8" t="s">
        <v>558</v>
      </c>
      <c r="B19" s="39">
        <f>CALC_COGS!C12</f>
        <v>2500000</v>
      </c>
      <c r="C19" s="34">
        <f>CALC_COGS!I12</f>
        <v>1.388987104</v>
      </c>
      <c r="D19" s="34">
        <f>CALC_COGS!K12</f>
        <v>1.386987104</v>
      </c>
      <c r="E19" s="35">
        <f t="shared" si="1"/>
        <v>0.002</v>
      </c>
      <c r="F19" s="34">
        <f>CALC_COGS!I23</f>
        <v>0.472047104</v>
      </c>
      <c r="G19" s="34">
        <f>CALC_COGS!K23</f>
        <v>0.470047104</v>
      </c>
      <c r="H19" s="35">
        <f t="shared" si="2"/>
        <v>0.002</v>
      </c>
    </row>
    <row r="20">
      <c r="A20" s="8" t="s">
        <v>559</v>
      </c>
      <c r="B20" s="39">
        <f>CALC_COGS!C13</f>
        <v>7500000</v>
      </c>
      <c r="C20" s="34">
        <f>CALC_COGS!I13</f>
        <v>1.337601579</v>
      </c>
      <c r="D20" s="34">
        <f>CALC_COGS!K13</f>
        <v>1.336934912</v>
      </c>
      <c r="E20" s="35">
        <f t="shared" si="1"/>
        <v>0.0006666666667</v>
      </c>
      <c r="F20" s="34">
        <f>CALC_COGS!I24</f>
        <v>0.4406615787</v>
      </c>
      <c r="G20" s="34">
        <f>CALC_COGS!K24</f>
        <v>0.439994912</v>
      </c>
      <c r="H20" s="35">
        <f t="shared" si="2"/>
        <v>0.0006666666667</v>
      </c>
    </row>
    <row r="21" ht="15.75" customHeight="1"/>
    <row r="22" ht="15.75" customHeight="1">
      <c r="A22" s="16" t="s">
        <v>560</v>
      </c>
    </row>
    <row r="23" ht="15.75" customHeight="1">
      <c r="A23" s="7"/>
      <c r="B23" s="7" t="s">
        <v>142</v>
      </c>
      <c r="C23" s="7" t="s">
        <v>143</v>
      </c>
      <c r="D23" s="7" t="s">
        <v>144</v>
      </c>
      <c r="E23" s="7" t="s">
        <v>145</v>
      </c>
      <c r="F23" s="7" t="s">
        <v>146</v>
      </c>
      <c r="G23" s="7" t="s">
        <v>561</v>
      </c>
      <c r="H23" s="7"/>
    </row>
    <row r="24" ht="15.75" customHeight="1">
      <c r="A24" s="8" t="s">
        <v>562</v>
      </c>
      <c r="B24" s="38">
        <f>CALC_PL!B22</f>
        <v>155708.1205</v>
      </c>
      <c r="C24" s="38">
        <f>CALC_PL!C22</f>
        <v>389271.4171</v>
      </c>
      <c r="D24" s="38">
        <f>CALC_PL!D22</f>
        <v>684559.2642</v>
      </c>
      <c r="E24" s="38">
        <f>CALC_PL!E22</f>
        <v>1085002.956</v>
      </c>
      <c r="F24" s="38">
        <f>CALC_PL!F22</f>
        <v>1736004.363</v>
      </c>
      <c r="G24" s="47">
        <f t="shared" ref="G24:G27" si="3">SUM(B24:F24)</f>
        <v>4050546.12</v>
      </c>
    </row>
    <row r="25" ht="15.75" customHeight="1">
      <c r="A25" s="8" t="s">
        <v>563</v>
      </c>
      <c r="B25" s="38">
        <f t="array" ref="B25">INDEX(CALC_COGS!K7:K13,CALC_PL!B10)*CALC_PL!B7+INDEX(CALC_COGS!K18:K24,CALC_PL!B10)*CALC_PL!B8</f>
        <v>152958.1205</v>
      </c>
      <c r="C25" s="38">
        <f t="array" ref="C25">INDEX(CALC_COGS!K7:K13,CALC_PL!C10)*CALC_PL!C7+INDEX(CALC_COGS!K18:K24,CALC_PL!C10)*CALC_PL!C8</f>
        <v>382396.3971</v>
      </c>
      <c r="D25" s="38">
        <f t="array" ref="D25">INDEX(CALC_COGS!K7:K13,CALC_PL!D10)*CALC_PL!D7+INDEX(CALC_COGS!K18:K24,CALC_PL!D10)*CALC_PL!D8</f>
        <v>679975.9308</v>
      </c>
      <c r="E25" s="38">
        <f t="array" ref="E25">INDEX(CALC_COGS!K7:K13,CALC_PL!E10)*CALC_PL!E7+INDEX(CALC_COGS!K18:K24,CALC_PL!E10)*CALC_PL!E8</f>
        <v>1082706.706</v>
      </c>
      <c r="F25" s="38">
        <f t="array" ref="F25">INDEX(CALC_COGS!K7:K13,CALC_PL!F10)*CALC_PL!F7+INDEX(CALC_COGS!K18:K24,CALC_PL!F10)*CALC_PL!F8</f>
        <v>1732330.363</v>
      </c>
      <c r="G25" s="47">
        <f t="shared" si="3"/>
        <v>4030367.517</v>
      </c>
    </row>
    <row r="26" ht="15.75" customHeight="1">
      <c r="A26" s="16" t="s">
        <v>564</v>
      </c>
      <c r="B26" s="47">
        <f t="shared" ref="B26:F26" si="4">B24-B25</f>
        <v>2750</v>
      </c>
      <c r="C26" s="47">
        <f t="shared" si="4"/>
        <v>6875.02</v>
      </c>
      <c r="D26" s="47">
        <f t="shared" si="4"/>
        <v>4583.333333</v>
      </c>
      <c r="E26" s="47">
        <f t="shared" si="4"/>
        <v>2296.25</v>
      </c>
      <c r="F26" s="47">
        <f t="shared" si="4"/>
        <v>3674</v>
      </c>
      <c r="G26" s="47">
        <f t="shared" si="3"/>
        <v>20178.60333</v>
      </c>
    </row>
    <row r="27" ht="15.75" customHeight="1">
      <c r="A27" s="16" t="s">
        <v>565</v>
      </c>
      <c r="B27" s="48">
        <f>CALC_PL!B42+B26</f>
        <v>-612808.8244</v>
      </c>
      <c r="C27" s="48">
        <f>CALC_PL!C42+C26</f>
        <v>-777021.6286</v>
      </c>
      <c r="D27" s="48">
        <f>CALC_PL!D42+D26</f>
        <v>603897.0173</v>
      </c>
      <c r="E27" s="48">
        <f>CALC_PL!E42+E26</f>
        <v>3535369.889</v>
      </c>
      <c r="F27" s="48">
        <f>CALC_PL!F42+F26</f>
        <v>9922191.819</v>
      </c>
      <c r="G27" s="48">
        <f t="shared" si="3"/>
        <v>12671628.27</v>
      </c>
      <c r="H27" s="10" t="s">
        <v>566</v>
      </c>
    </row>
    <row r="28" ht="15.75" customHeight="1"/>
    <row r="29" ht="18.0" customHeight="1">
      <c r="A29" s="5" t="s">
        <v>567</v>
      </c>
      <c r="B29" s="6"/>
      <c r="C29" s="6"/>
      <c r="D29" s="6"/>
      <c r="E29" s="6"/>
      <c r="F29" s="6"/>
      <c r="G29" s="6"/>
      <c r="H29" s="6"/>
    </row>
    <row r="30" ht="15.75" customHeight="1">
      <c r="A30" s="10" t="s">
        <v>568</v>
      </c>
    </row>
    <row r="31" ht="15.75" customHeight="1">
      <c r="A31" s="7"/>
      <c r="B31" s="7" t="s">
        <v>142</v>
      </c>
      <c r="C31" s="7" t="s">
        <v>143</v>
      </c>
      <c r="D31" s="7" t="s">
        <v>144</v>
      </c>
      <c r="E31" s="7" t="s">
        <v>145</v>
      </c>
      <c r="F31" s="7" t="s">
        <v>146</v>
      </c>
      <c r="G31" s="7"/>
      <c r="H31" s="7"/>
    </row>
    <row r="32" ht="15.75" customHeight="1">
      <c r="A32" s="8" t="s">
        <v>569</v>
      </c>
      <c r="B32" s="38">
        <f>CALC_PL!B42</f>
        <v>-615558.8244</v>
      </c>
      <c r="C32" s="38">
        <f>CALC_PL!C42</f>
        <v>-783896.6486</v>
      </c>
      <c r="D32" s="38">
        <f>CALC_PL!D42</f>
        <v>599313.6839</v>
      </c>
      <c r="E32" s="38">
        <f>CALC_PL!E42</f>
        <v>3533073.639</v>
      </c>
      <c r="F32" s="38">
        <f>CALC_PL!F42</f>
        <v>9918517.819</v>
      </c>
    </row>
    <row r="33" ht="15.75" customHeight="1">
      <c r="A33" s="8" t="s">
        <v>375</v>
      </c>
      <c r="B33" s="38">
        <f>CALC_PL!B44</f>
        <v>-615558.8244</v>
      </c>
      <c r="C33" s="38">
        <f>CALC_PL!C44</f>
        <v>-1399455.473</v>
      </c>
      <c r="D33" s="38">
        <f>CALC_PL!D44</f>
        <v>-800141.7891</v>
      </c>
      <c r="E33" s="38">
        <f>CALC_PL!E44</f>
        <v>2732931.85</v>
      </c>
      <c r="F33" s="38">
        <f>CALC_PL!F44</f>
        <v>12651449.67</v>
      </c>
    </row>
    <row r="34" ht="15.75" customHeight="1">
      <c r="A34" s="19" t="s">
        <v>570</v>
      </c>
      <c r="B34" s="32" t="str">
        <f t="shared" ref="B34:B35" si="5">IF(D32&gt;0,"Y3",IF(E32&gt;0,"Y4","later"))</f>
        <v>Y3</v>
      </c>
      <c r="H34" s="10" t="s">
        <v>571</v>
      </c>
    </row>
    <row r="35" ht="15.75" customHeight="1">
      <c r="A35" s="19" t="s">
        <v>572</v>
      </c>
      <c r="B35" s="32" t="str">
        <f t="shared" si="5"/>
        <v>Y4</v>
      </c>
      <c r="H35" s="10" t="s">
        <v>573</v>
      </c>
    </row>
    <row r="36" ht="15.75" customHeight="1"/>
    <row r="37" ht="18.0" customHeight="1">
      <c r="A37" s="5" t="s">
        <v>574</v>
      </c>
      <c r="B37" s="6"/>
      <c r="C37" s="6"/>
      <c r="D37" s="6"/>
      <c r="E37" s="6"/>
      <c r="F37" s="6"/>
      <c r="G37" s="6"/>
      <c r="H37" s="6"/>
    </row>
    <row r="38" ht="15.75" customHeight="1">
      <c r="A38" s="16" t="s">
        <v>42</v>
      </c>
      <c r="B38" s="2" t="s">
        <v>575</v>
      </c>
    </row>
    <row r="39" ht="15.75" customHeight="1">
      <c r="A39" s="10" t="s">
        <v>576</v>
      </c>
    </row>
    <row r="40" ht="15.75" customHeight="1">
      <c r="A40" s="10" t="s">
        <v>577</v>
      </c>
    </row>
    <row r="41" ht="15.75" customHeight="1"/>
    <row r="42" ht="15.75" customHeight="1">
      <c r="A42" s="16" t="s">
        <v>578</v>
      </c>
      <c r="B42" s="2" t="s">
        <v>575</v>
      </c>
    </row>
    <row r="43" ht="15.75" customHeight="1">
      <c r="A43" s="10" t="s">
        <v>579</v>
      </c>
    </row>
    <row r="44" ht="15.75" customHeight="1">
      <c r="A44" s="10" t="s">
        <v>580</v>
      </c>
    </row>
    <row r="45" ht="15.75" customHeight="1"/>
    <row r="46" ht="15.75" customHeight="1">
      <c r="A46" s="16" t="s">
        <v>581</v>
      </c>
      <c r="B46" s="2" t="s">
        <v>582</v>
      </c>
    </row>
    <row r="47" ht="15.75" customHeight="1">
      <c r="A47" s="10" t="s">
        <v>583</v>
      </c>
    </row>
    <row r="48" ht="15.75" customHeight="1">
      <c r="A48" s="10" t="s">
        <v>584</v>
      </c>
    </row>
    <row r="49" ht="15.75" customHeight="1"/>
    <row r="50" ht="15.75" customHeight="1">
      <c r="A50" s="16" t="s">
        <v>585</v>
      </c>
      <c r="B50" s="2" t="s">
        <v>586</v>
      </c>
    </row>
    <row r="51" ht="15.75" customHeight="1">
      <c r="A51" s="10" t="s">
        <v>587</v>
      </c>
    </row>
    <row r="52" ht="15.75" customHeight="1">
      <c r="A52" s="10" t="s">
        <v>588</v>
      </c>
    </row>
    <row r="53" ht="15.75" customHeight="1"/>
    <row r="54" ht="15.75" customHeight="1">
      <c r="A54" s="16" t="s">
        <v>589</v>
      </c>
      <c r="B54" s="2" t="s">
        <v>590</v>
      </c>
    </row>
    <row r="55" ht="15.75" customHeight="1">
      <c r="A55" s="10" t="s">
        <v>591</v>
      </c>
    </row>
    <row r="56" ht="15.75" customHeight="1">
      <c r="A56" s="10" t="s">
        <v>592</v>
      </c>
    </row>
    <row r="57" ht="15.75" customHeight="1"/>
    <row r="58" ht="15.75" customHeight="1">
      <c r="A58" s="16" t="s">
        <v>593</v>
      </c>
      <c r="B58" s="2" t="s">
        <v>594</v>
      </c>
    </row>
    <row r="59" ht="15.75" customHeight="1">
      <c r="A59" s="10" t="s">
        <v>595</v>
      </c>
    </row>
    <row r="60" ht="15.75" customHeight="1">
      <c r="A60" s="10" t="s">
        <v>596</v>
      </c>
    </row>
    <row r="61" ht="15.75" customHeight="1"/>
    <row r="62" ht="15.75" customHeight="1">
      <c r="A62" s="16" t="s">
        <v>597</v>
      </c>
      <c r="B62" s="2" t="s">
        <v>598</v>
      </c>
    </row>
    <row r="63" ht="15.75" customHeight="1">
      <c r="A63" s="10" t="s">
        <v>599</v>
      </c>
    </row>
    <row r="64" ht="15.75" customHeight="1">
      <c r="A64" s="10" t="s">
        <v>600</v>
      </c>
    </row>
    <row r="65" ht="15.75" customHeight="1"/>
    <row r="66" ht="15.75" customHeight="1">
      <c r="A66" s="16" t="s">
        <v>601</v>
      </c>
      <c r="B66" s="2" t="s">
        <v>602</v>
      </c>
    </row>
    <row r="67" ht="15.75" customHeight="1">
      <c r="A67" s="10" t="s">
        <v>603</v>
      </c>
    </row>
    <row r="68" ht="15.75" customHeight="1">
      <c r="A68" s="10" t="s">
        <v>604</v>
      </c>
    </row>
    <row r="69" ht="15.75" customHeight="1"/>
    <row r="70" ht="15.75" customHeight="1">
      <c r="A70" s="16" t="s">
        <v>605</v>
      </c>
      <c r="B70" s="2" t="s">
        <v>606</v>
      </c>
    </row>
    <row r="71" ht="15.75" customHeight="1">
      <c r="A71" s="10" t="s">
        <v>607</v>
      </c>
    </row>
    <row r="72" ht="15.75" customHeight="1">
      <c r="A72" s="10" t="s">
        <v>608</v>
      </c>
    </row>
    <row r="73" ht="15.75" customHeight="1"/>
    <row r="74" ht="15.75" customHeight="1">
      <c r="A74" s="16" t="s">
        <v>609</v>
      </c>
      <c r="B74" s="2" t="s">
        <v>575</v>
      </c>
    </row>
    <row r="75" ht="15.75" customHeight="1">
      <c r="A75" s="10" t="s">
        <v>610</v>
      </c>
    </row>
    <row r="76" ht="15.75" customHeight="1">
      <c r="A76" s="10" t="s">
        <v>611</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