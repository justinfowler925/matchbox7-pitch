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CALC_RM" sheetId="3" state="visible" r:id="rId5"/>
    <sheet name="CALC_COGS" sheetId="4" state="visible" r:id="rId6"/>
    <sheet name="CALC_MONTHLY" sheetId="5" state="visible" r:id="rId7"/>
    <sheet name="CALC_PL" sheetId="6" state="visible" r:id="rId8"/>
    <sheet name="CALC_CASH" sheetId="7" state="visible" r:id="rId9"/>
    <sheet name="DASHBOARD" sheetId="8" state="visible" r:id="rId10"/>
    <sheet name="AUDIT"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<sst xmlns="http://schemas.openxmlformats.org/spreadsheetml/2006/main" count="788" uniqueCount="625">
  <si>
    <t xml:space="preserve">MonchMonch Financial Model — Spreadsheet Rebuild</t>
  </si>
  <si>
    <t xml:space="preserve">Version</t>
  </si>
  <si>
    <t xml:space="preserve">v6.0 sync (mirrors calc v6 after Ben audit applied — all 5 engineering bugs fixed)</t>
  </si>
  <si>
    <t xml:space="preserve">Built</t>
  </si>
  <si>
    <t xml:space="preserve">2026-05-23</t>
  </si>
  <si>
    <t xml:space="preserve">Source of truth</t>
  </si>
  <si>
    <t xml:space="preserve">monchmonch-calc/src/constants.js + model.js commit 17b1d91 (2026-05-23)</t>
  </si>
  <si>
    <t xml:space="preserve">Status</t>
  </si>
  <si>
    <t xml:space="preserve">COMPLETE — all 3 passes done. INPUTS/CALC_RM/CALC_COGS/CALC_MONTHLY/CALC_PL/CALC_CASH/DASHBOARD/AUDIT all v6.</t>
  </si>
  <si>
    <t xml:space="preserve">PURPOSE</t>
  </si>
  <si>
    <t xml:space="preserve">Replace the GitHub JavaScript calculator with a single editable workbook the user controls at the cell level. Every output traces to a formula; every formula traces to an INPUTS cell. No hardcoded numbers in calculation tabs.</t>
  </si>
  <si>
    <t xml:space="preserve">COLOR CONVENTION (industry-standard)</t>
  </si>
  <si>
    <t xml:space="preserve">Blue text</t>
  </si>
  <si>
    <t xml:space="preserve">Hardcoded input — change these to run scenarios</t>
  </si>
  <si>
    <t xml:space="preserve">Black text</t>
  </si>
  <si>
    <t xml:space="preserve">Formula on the same sheet</t>
  </si>
  <si>
    <t xml:space="preserve">Green text</t>
  </si>
  <si>
    <t xml:space="preserve">Formula linking to another sheet</t>
  </si>
  <si>
    <t xml:space="preserve">Yellow background</t>
  </si>
  <si>
    <t xml:space="preserve">Key assumption — review before using</t>
  </si>
  <si>
    <t xml:space="preserve">Orange background</t>
  </si>
  <si>
    <t xml:space="preserve">Known issue carried over from v3.0 JS code (see AUDIT tab)</t>
  </si>
  <si>
    <t xml:space="preserve">TAB MAP</t>
  </si>
  <si>
    <t xml:space="preserve">README</t>
  </si>
  <si>
    <t xml:space="preserve">This page</t>
  </si>
  <si>
    <t xml:space="preserve">INPUTS</t>
  </si>
  <si>
    <t xml:space="preserve">All parameters from constants.js, organized by section. Edit blue cells to change scenarios.</t>
  </si>
  <si>
    <t xml:space="preserve">CALC_RM</t>
  </si>
  <si>
    <t xml:space="preserve">Raw material cost rollup per ingredient at each tier (bars + electrolytes)</t>
  </si>
  <si>
    <t xml:space="preserve">CALC_COGS</t>
  </si>
  <si>
    <t xml:space="preserve">7-tier COGS waterfall for bars and electrolytes. Shows v3.0 original AND a corrected version (overhead double-count removed).</t>
  </si>
  <si>
    <t xml:space="preserve">CALC_MONTHLY</t>
  </si>
  <si>
    <t xml:space="preserve">[Pass 2] Y1 monthly engine: demand → production → inventory → spoilage → channel revenue with proper ramp enforcement</t>
  </si>
  <si>
    <t xml:space="preserve">CALC_PL</t>
  </si>
  <si>
    <t xml:space="preserve">[Pass 2] 5-year P&amp;L combining bars + ingredient licensing</t>
  </si>
  <si>
    <t xml:space="preserve">CALC_CASH</t>
  </si>
  <si>
    <t xml:space="preserve">[Pass 3] 60-month cash flow with proper working-capital changes (the piece v3.0 does not actually compute)</t>
  </si>
  <si>
    <t xml:space="preserve">DASHBOARD</t>
  </si>
  <si>
    <t xml:space="preserve">[Pass 3] Every number cited in the pitch deck, sourced to a formula on a calc tab</t>
  </si>
  <si>
    <t xml:space="preserve">AUDIT</t>
  </si>
  <si>
    <t xml:space="preserve">[Pass 3] Side-by-side: JS output vs. this workbook, plus documentation of every divergence and bug fix</t>
  </si>
  <si>
    <t xml:space="preserve">KNOWN ISSUES INHERITED FROM v3.0 JS CODE</t>
  </si>
  <si>
    <t xml:space="preserve">1. Overhead double-counted</t>
  </si>
  <si>
    <t xml:space="preserve">✓ FIXED in calc v6 — see AUDIT tab for status</t>
  </si>
  <si>
    <t xml:space="preserve">2. COGS overhead dimensionally off</t>
  </si>
  <si>
    <t xml:space="preserve">✓ FIXED in calc v6 (resolved by #1)</t>
  </si>
  <si>
    <t xml:space="preserve">3. Annual revenue ignores ramp</t>
  </si>
  <si>
    <t xml:space="preserve">✓ FIXED in calc v6 — Y1 P&amp;L now aggregates from monthly engine</t>
  </si>
  <si>
    <t xml:space="preserve">4. Cash flow is just cumulative EBITDA</t>
  </si>
  <si>
    <t xml:space="preserve">✓ FIXED in calc v6 — proper WC modeling (AR 35 / Inv 60 / AP 30 = 65d CCC)</t>
  </si>
  <si>
    <t xml:space="preserve">5. Bar BOM is incomplete</t>
  </si>
  <si>
    <t xml:space="preserve">✓ FIXED in calc v6 + workbook — Tapioca slot reassigned to Monch Fiber; other placeholders populated</t>
  </si>
  <si>
    <t xml:space="preserve">6. Deck COGS numbers off-model</t>
  </si>
  <si>
    <t xml:space="preserve">✓ FIXED in pitch v5.2 — bar COGS slide now cites $1.83 @ 25K (was $1.59)</t>
  </si>
  <si>
    <t xml:space="preserve">HOW TO USE</t>
  </si>
  <si>
    <t xml:space="preserve">2. Edit INPUTS</t>
  </si>
  <si>
    <t xml:space="preserve">Change any blue cell. The CALC tabs and DASHBOARD will update.</t>
  </si>
  <si>
    <t xml:space="preserve">3. Check AUDIT</t>
  </si>
  <si>
    <t xml:space="preserve">Before sharing with investors, review the AUDIT tab to confirm which numbers match v3.0 and which deliberately diverge.</t>
  </si>
  <si>
    <t xml:space="preserve">INPUTS — All Parameters (v3.0 mirror)</t>
  </si>
  <si>
    <t xml:space="preserve">GLOBAL ASSUMPTIONS</t>
  </si>
  <si>
    <t xml:space="preserve">Parameter</t>
  </si>
  <si>
    <t xml:space="preserve">Value</t>
  </si>
  <si>
    <t xml:space="preserve">Notes</t>
  </si>
  <si>
    <t xml:space="preserve">Returns / Allowances %</t>
  </si>
  <si>
    <t xml:space="preserve">2% of gross revenue across all channels</t>
  </si>
  <si>
    <t xml:space="preserve">Target Days of Inventory</t>
  </si>
  <si>
    <t xml:space="preserve">NOT actually used in v3.0 logic — phantom input</t>
  </si>
  <si>
    <t xml:space="preserve">Safety Stock %</t>
  </si>
  <si>
    <t xml:space="preserve">Target end-of-month inventory as % of that month adj demand</t>
  </si>
  <si>
    <t xml:space="preserve">Warehousing $/unit/mo</t>
  </si>
  <si>
    <t xml:space="preserve">Insurance % of inv value</t>
  </si>
  <si>
    <t xml:space="preserve">Not used in v3.0 carrying cost calc — phantom input</t>
  </si>
  <si>
    <t xml:space="preserve">Cost of Capital %</t>
  </si>
  <si>
    <t xml:space="preserve">Spoilage rate Bars (%/mo)</t>
  </si>
  <si>
    <t xml:space="preserve">Spoilage rate Elec (%/mo)</t>
  </si>
  <si>
    <t xml:space="preserve">Spoilage cost multiplier</t>
  </si>
  <si>
    <t xml:space="preserve">3x: covers unit loss + production cost + disposal</t>
  </si>
  <si>
    <t xml:space="preserve">Carrying cost rate</t>
  </si>
  <si>
    <t xml:space="preserve">Applied to warehousing $ × units; insurance/CoC inputs unused</t>
  </si>
  <si>
    <t xml:space="preserve">LABOR &amp; OVERHEAD</t>
  </si>
  <si>
    <t xml:space="preserve">Role</t>
  </si>
  <si>
    <t xml:space="preserve">Headcount</t>
  </si>
  <si>
    <t xml:space="preserve">Rate $/hr</t>
  </si>
  <si>
    <t xml:space="preserve">Hours/Run</t>
  </si>
  <si>
    <t xml:space="preserve">Variable?</t>
  </si>
  <si>
    <t xml:space="preserve">Production Operator</t>
  </si>
  <si>
    <t xml:space="preserve">Yes</t>
  </si>
  <si>
    <t xml:space="preserve">QA Inspector</t>
  </si>
  <si>
    <t xml:space="preserve">Warehouse</t>
  </si>
  <si>
    <t xml:space="preserve">Production Manager</t>
  </si>
  <si>
    <t xml:space="preserve">No</t>
  </si>
  <si>
    <t xml:space="preserve">Total labor cost per run</t>
  </si>
  <si>
    <t xml:space="preserve">Sum(headcount × rate × hours)</t>
  </si>
  <si>
    <t xml:space="preserve">Direct labor $/unit (fallback)</t>
  </si>
  <si>
    <t xml:space="preserve">Used only if laborRoles empty</t>
  </si>
  <si>
    <t xml:space="preserve">Fixed Overhead $/mo</t>
  </si>
  <si>
    <t xml:space="preserve">Equipment Amort $/mo</t>
  </si>
  <si>
    <t xml:space="preserve">G&amp;A $/mo</t>
  </si>
  <si>
    <t xml:space="preserve">LEGACY PRICING (reference only, NOT used in v3.0 — see CHANNELS below)</t>
  </si>
  <si>
    <t xml:space="preserve">Bar MSRP</t>
  </si>
  <si>
    <t xml:space="preserve">Bar Trade/Wholesale</t>
  </si>
  <si>
    <t xml:space="preserve">Electrolyte MSRP</t>
  </si>
  <si>
    <t xml:space="preserve">Electrolyte Trade</t>
  </si>
  <si>
    <t xml:space="preserve">DTC Fulfillment $/unit (legacy)</t>
  </si>
  <si>
    <t xml:space="preserve">Wholesale Freight $/unit (legacy)</t>
  </si>
  <si>
    <t xml:space="preserve">Marketing % of revenue (legacy)</t>
  </si>
  <si>
    <t xml:space="preserve">Marketing fixed annual (legacy)</t>
  </si>
  <si>
    <t xml:space="preserve">CHANNELS (6 channels — drives v3.0 revenue + channel costs)</t>
  </si>
  <si>
    <t xml:space="preserve">Channel</t>
  </si>
  <si>
    <t xml:space="preserve">Active</t>
  </si>
  <si>
    <t xml:space="preserve">%Alloc</t>
  </si>
  <si>
    <t xml:space="preserve">Bar Price</t>
  </si>
  <si>
    <t xml:space="preserve">Elec Price</t>
  </si>
  <si>
    <t xml:space="preserve">Cost/Unit</t>
  </si>
  <si>
    <t xml:space="preserve">Ramp Months</t>
  </si>
  <si>
    <t xml:space="preserve">Max Monthly Units</t>
  </si>
  <si>
    <t xml:space="preserve">DTC (Website)</t>
  </si>
  <si>
    <t xml:space="preserve">Amazon</t>
  </si>
  <si>
    <t xml:space="preserve">Big Box Retail</t>
  </si>
  <si>
    <t xml:space="preserve">Natural/Specialty</t>
  </si>
  <si>
    <t xml:space="preserve">Vitamin Shops</t>
  </si>
  <si>
    <t xml:space="preserve">Distributors</t>
  </si>
  <si>
    <t xml:space="preserve">Total active %alloc</t>
  </si>
  <si>
    <t xml:space="preserve">Should sum to 100% — flagged if not</t>
  </si>
  <si>
    <t xml:space="preserve">CO-MANUFACTURER PRICING (7 tiers)</t>
  </si>
  <si>
    <t xml:space="preserve">Tier #</t>
  </si>
  <si>
    <t xml:space="preserve">Label</t>
  </si>
  <si>
    <t xml:space="preserve">Min Vol Threshold</t>
  </si>
  <si>
    <t xml:space="preserve">Mid Volume</t>
  </si>
  <si>
    <t xml:space="preserve">Bar $/unit</t>
  </si>
  <si>
    <t xml:space="preserve">Elec $/unit</t>
  </si>
  <si>
    <t xml:space="preserve">Labor Scale</t>
  </si>
  <si>
    <t xml:space="preserve">1–999</t>
  </si>
  <si>
    <t xml:space="preserve">1K–10K</t>
  </si>
  <si>
    <t xml:space="preserve">10K–100K</t>
  </si>
  <si>
    <t xml:space="preserve">100K–500K</t>
  </si>
  <si>
    <t xml:space="preserve">500K–1M</t>
  </si>
  <si>
    <t xml:space="preserve">1M–5M</t>
  </si>
  <si>
    <t xml:space="preserve">5M+</t>
  </si>
  <si>
    <t xml:space="preserve">GROWTH RATES &amp; ANNUAL OPEX (by year)</t>
  </si>
  <si>
    <t xml:space="preserve">Line</t>
  </si>
  <si>
    <t xml:space="preserve">Y1</t>
  </si>
  <si>
    <t xml:space="preserve">Y2</t>
  </si>
  <si>
    <t xml:space="preserve">Y3</t>
  </si>
  <si>
    <t xml:space="preserve">Y4</t>
  </si>
  <si>
    <t xml:space="preserve">Y5</t>
  </si>
  <si>
    <t xml:space="preserve">Growth rate (vs prior year)</t>
  </si>
  <si>
    <t xml:space="preserve">Year 1 = base; Y2+ = % increase</t>
  </si>
  <si>
    <t xml:space="preserve">Marketing $/yr</t>
  </si>
  <si>
    <t xml:space="preserve">Payroll $/yr</t>
  </si>
  <si>
    <t xml:space="preserve">BD/Sales $/yr</t>
  </si>
  <si>
    <t xml:space="preserve">Clinical &amp; IP $/yr</t>
  </si>
  <si>
    <t xml:space="preserve">Overhead multiplier</t>
  </si>
  <si>
    <t xml:space="preserve">Ingredient Licensing Rev $/yr</t>
  </si>
  <si>
    <t xml:space="preserve">Licensing COGS %</t>
  </si>
  <si>
    <t xml:space="preserve">25% COGS → 75% gross margin on ingredient licensing</t>
  </si>
  <si>
    <t xml:space="preserve">Payroll Y1 (legacy)</t>
  </si>
  <si>
    <t xml:space="preserve">Payroll start month</t>
  </si>
  <si>
    <t xml:space="preserve">BAR RAW MATERIALS (BOM) — note many qty=0 placeholders</t>
  </si>
  <si>
    <t xml:space="preserve">Material</t>
  </si>
  <si>
    <t xml:space="preserve">Qty/unit (lb)</t>
  </si>
  <si>
    <t xml:space="preserve">$/lb T1</t>
  </si>
  <si>
    <t xml:space="preserve">$/lb T2</t>
  </si>
  <si>
    <t xml:space="preserve">$/lb T3</t>
  </si>
  <si>
    <t xml:space="preserve">MOQ</t>
  </si>
  <si>
    <t xml:space="preserve">Flavoring Orig</t>
  </si>
  <si>
    <t xml:space="preserve">Flavoring Berry</t>
  </si>
  <si>
    <t xml:space="preserve">Wrapper</t>
  </si>
  <si>
    <t xml:space="preserve">Each, not lb</t>
  </si>
  <si>
    <t xml:space="preserve">Outer Box</t>
  </si>
  <si>
    <t xml:space="preserve">Whey Protein</t>
  </si>
  <si>
    <t xml:space="preserve">Milk Protein Isolate</t>
  </si>
  <si>
    <t xml:space="preserve">PLACEHOLDER — qty=0</t>
  </si>
  <si>
    <t xml:space="preserve">Monch Fiber</t>
  </si>
  <si>
    <t xml:space="preserve">BRAND IP — proprietary water-soluble fiber (3.3x bioavailability vs commodity)</t>
  </si>
  <si>
    <t xml:space="preserve">IMO</t>
  </si>
  <si>
    <t xml:space="preserve">Isomalto-oligosaccharide binder/sweetener</t>
  </si>
  <si>
    <t xml:space="preserve">Vegetable Glycerin</t>
  </si>
  <si>
    <t xml:space="preserve">Humectant — keeps bar soft</t>
  </si>
  <si>
    <t xml:space="preserve">Cocoa Butter</t>
  </si>
  <si>
    <t xml:space="preserve">Chocolate-compound enrobement (BioLumen formulation)</t>
  </si>
  <si>
    <t xml:space="preserve">Sunflower Lecithin</t>
  </si>
  <si>
    <t xml:space="preserve">Emulsifier (small amount)</t>
  </si>
  <si>
    <t xml:space="preserve">Stevia Reb M</t>
  </si>
  <si>
    <t xml:space="preserve">Salt</t>
  </si>
  <si>
    <t xml:space="preserve">Flavor balance (was placeholder qty=0)</t>
  </si>
  <si>
    <t xml:space="preserve">Cocoa Soy Crisp</t>
  </si>
  <si>
    <t xml:space="preserve">Crunch component (was placeholder qty=0)</t>
  </si>
  <si>
    <t xml:space="preserve">ELECTROLYTE RAW MATERIALS (BOM)</t>
  </si>
  <si>
    <t xml:space="preserve">Ascorbic Acid</t>
  </si>
  <si>
    <t xml:space="preserve">Proprietary water-soluble fiber</t>
  </si>
  <si>
    <t xml:space="preserve">Citric Acid</t>
  </si>
  <si>
    <t xml:space="preserve">Potassium Cl</t>
  </si>
  <si>
    <t xml:space="preserve">Magnesium Malate</t>
  </si>
  <si>
    <t xml:space="preserve">Purified Stevia</t>
  </si>
  <si>
    <t xml:space="preserve">Flavoring</t>
  </si>
  <si>
    <t xml:space="preserve">Sachet Pkg</t>
  </si>
  <si>
    <t xml:space="preserve">Y1 MONTHLY DEMAND &amp; SEASONALITY</t>
  </si>
  <si>
    <t xml:space="preserve">Month</t>
  </si>
  <si>
    <t xml:space="preserve">Bar Base Demand</t>
  </si>
  <si>
    <t xml:space="preserve">Elec Base Demand</t>
  </si>
  <si>
    <t xml:space="preserve">Bar Season Idx</t>
  </si>
  <si>
    <t xml:space="preserve">Elec Season Idx</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</si>
  <si>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</si>
  <si>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</si>
  <si>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</si>
  <si>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</si>
  <si>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</si>
  <si>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</si>
  <si>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</si>
  <si>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</si>
  <si>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</si>
  <si>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</si>
  <si>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</si>
  <si>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</si>
  <si>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Annual base totals</t>
  </si>
  <si>
    <t xml:space="preserve">Avg seasonality</t>
  </si>
  <si>
    <t xml:space="preserve">LAUNCH / PRE-LAUNCH EXPENSES</t>
  </si>
  <si>
    <t xml:space="preserve">Item</t>
  </si>
  <si>
    <t xml:space="preserve">Cost</t>
  </si>
  <si>
    <t xml:space="preserve">Month (rel)</t>
  </si>
  <si>
    <t xml:space="preserve">Kosher Certification</t>
  </si>
  <si>
    <t xml:space="preserve">Factory certification</t>
  </si>
  <si>
    <t xml:space="preserve">Clean Room Buildout</t>
  </si>
  <si>
    <t xml:space="preserve">GMP clean rooms</t>
  </si>
  <si>
    <t xml:space="preserve">Factory Inventory Min</t>
  </si>
  <si>
    <t xml:space="preserve">5 tons minimum</t>
  </si>
  <si>
    <t xml:space="preserve">Bar Recipe Dev (3 flavors)</t>
  </si>
  <si>
    <t xml:space="preserve">3 flavor formulations</t>
  </si>
  <si>
    <t xml:space="preserve">Branding &amp; Design</t>
  </si>
  <si>
    <t xml:space="preserve">Package design, brand identity</t>
  </si>
  <si>
    <t xml:space="preserve">Legal &amp; Regulatory</t>
  </si>
  <si>
    <t xml:space="preserve">FDA, labeling compliance</t>
  </si>
  <si>
    <t xml:space="preserve">Total startup capex</t>
  </si>
  <si>
    <t xml:space="preserve">FUNDING &amp; CAPITAL STRUCTURE</t>
  </si>
  <si>
    <t xml:space="preserve">Starting Cash</t>
  </si>
  <si>
    <t xml:space="preserve">Equity Raised</t>
  </si>
  <si>
    <t xml:space="preserve">Debt Amount</t>
  </si>
  <si>
    <t xml:space="preserve">Debt Rate (annual)</t>
  </si>
  <si>
    <t xml:space="preserve">Debt Term (months)</t>
  </si>
  <si>
    <t xml:space="preserve">ONGOING COMMITMENTS</t>
  </si>
  <si>
    <t xml:space="preserve">Name</t>
  </si>
  <si>
    <t xml:space="preserve">Type</t>
  </si>
  <si>
    <t xml:space="preserve">Monthly $</t>
  </si>
  <si>
    <t xml:space="preserve">Term (mo)</t>
  </si>
  <si>
    <t xml:space="preserve">Co-Manufacturer</t>
  </si>
  <si>
    <t xml:space="preserve">production</t>
  </si>
  <si>
    <t xml:space="preserve">Min 10K units/mo</t>
  </si>
  <si>
    <t xml:space="preserve">Warehouse Lease</t>
  </si>
  <si>
    <t xml:space="preserve">facility</t>
  </si>
  <si>
    <t xml:space="preserve">3,000 sq ft</t>
  </si>
  <si>
    <t xml:space="preserve">Equipment Lease</t>
  </si>
  <si>
    <t xml:space="preserve">equipment</t>
  </si>
  <si>
    <t xml:space="preserve">Packaging line</t>
  </si>
  <si>
    <t xml:space="preserve">Total commitment $/mo</t>
  </si>
  <si>
    <t xml:space="preserve">MINIMUM PRODUCTION RUN SIZES</t>
  </si>
  <si>
    <t xml:space="preserve">Min Bar Run (units)</t>
  </si>
  <si>
    <t xml:space="preserve">Min Elec Run (units)</t>
  </si>
  <si>
    <t xml:space="preserve">WORKING CAPITAL (industry-standard CPG nutrition, calc v6)</t>
  </si>
  <si>
    <t xml:space="preserve">Days</t>
  </si>
  <si>
    <t xml:space="preserve">AR Days (blended)</t>
  </si>
  <si>
    <t xml:space="preserve">DTC ~3d + Amazon ~14d + Distrib ~60d + Natural ~45d weighted; conservative bias for wholesale payment slippage</t>
  </si>
  <si>
    <t xml:space="preserve">Inventory Days</t>
  </si>
  <si>
    <t xml:space="preserve">Emerging CPG benchmark 45-90d; includes safety stock + MOQ overhang + slow-moving wholesale</t>
  </si>
  <si>
    <t xml:space="preserve">AP Days</t>
  </si>
  <si>
    <t xml:space="preserve">Net 30 standard for raw materials and co-pack</t>
  </si>
  <si>
    <t xml:space="preserve">Cash Conversion Cycle</t>
  </si>
  <si>
    <t xml:space="preserve">65d = mid-range for emerging premium CPG</t>
  </si>
  <si>
    <t xml:space="preserve">CALC_RM — Raw Material Cost Rollup</t>
  </si>
  <si>
    <t xml:space="preserve">Per-unit RM cost at each tier price = qty × $/lb</t>
  </si>
  <si>
    <t xml:space="preserve">BAR RAW MATERIALS</t>
  </si>
  <si>
    <t xml:space="preserve">Qty/unit</t>
  </si>
  <si>
    <t xml:space="preserve">Cost T1</t>
  </si>
  <si>
    <t xml:space="preserve">Cost T2</t>
  </si>
  <si>
    <t xml:space="preserve">Cost T3</t>
  </si>
  <si>
    <t xml:space="preserve">BAR RM TOTAL ($/unit)</t>
  </si>
  <si>
    <t xml:space="preserve">ELECTROLYTE RAW MATERIALS</t>
  </si>
  <si>
    <t xml:space="preserve">ELEC RM TOTAL ($/unit)</t>
  </si>
  <si>
    <t xml:space="preserve">MOQ COMMITMENT SUMMARY (at T1 prices)</t>
  </si>
  <si>
    <t xml:space="preserve">Product</t>
  </si>
  <si>
    <t xml:space="preserve">Sum of MOQ × T1</t>
  </si>
  <si>
    <t xml:space="preserve">Bars (RM only)</t>
  </si>
  <si>
    <t xml:space="preserve">Total $ if you buy every ingredient at its MOQ at T1 prices</t>
  </si>
  <si>
    <t xml:space="preserve">Electrolytes (RM only)</t>
  </si>
  <si>
    <t xml:space="preserve">CALC_COGS — 7-Tier COGS Waterfall (v3.0 original + corrected)</t>
  </si>
  <si>
    <t xml:space="preserve">Original total = v3.0 JS formula (includes overhead double-count). Corrected total = overhead removed from COGS (kept in OpEx only).</t>
  </si>
  <si>
    <t xml:space="preserve">BAR COGS WATERFALL — by Operating Volume Tier</t>
  </si>
  <si>
    <t xml:space="preserve">Tier</t>
  </si>
  <si>
    <t xml:space="preserve">Mid Vol</t>
  </si>
  <si>
    <t xml:space="preserve">RM</t>
  </si>
  <si>
    <t xml:space="preserve">Labor</t>
  </si>
  <si>
    <t xml:space="preserve">Overhead (v3.0)</t>
  </si>
  <si>
    <t xml:space="preserve">Co-Man</t>
  </si>
  <si>
    <t xml:space="preserve">Packaging</t>
  </si>
  <si>
    <t xml:space="preserve">TOTAL (v3.0)</t>
  </si>
  <si>
    <t xml:space="preserve">TOTAL (corrected)</t>
  </si>
  <si>
    <t xml:space="preserve">ELECTROLYTE COGS WATERFALL — by Operating Volume Tier</t>
  </si>
  <si>
    <t xml:space="preserve">NOTES</t>
  </si>
  <si>
    <t xml:space="preserve">• Original column matches v3.0 JS exactly. Use this for reconciliation.</t>
  </si>
  <si>
    <t xml:space="preserve">• Corrected column removes overhead from COGS (it remains in OpEx as the annualized fixed-OH line, so it doesn't disappear from the P&amp;L — it just isn't double-counted).</t>
  </si>
  <si>
    <t xml:space="preserve">• RM tier mapping (1-2 → T1 price, 3-4 → T2 price, 5-7 → T3 price) matches model.js line 39.</t>
  </si>
  <si>
    <t xml:space="preserve">• Labor formula = (sum of headcount×rate×hours)/midVol × tier scale factor. Matches laborAtTier() in model.js.</t>
  </si>
  <si>
    <t xml:space="preserve">• Packaging is currently 0 across all tiers because all barPackaging/elecPackaging items in constants.js have costPerUnit=0.</t>
  </si>
  <si>
    <t xml:space="preserve">CALC_MONTHLY — Y1 Monthly Engine</t>
  </si>
  <si>
    <t xml:space="preserve">Mirrors computeY1Monthly() in model.js (lines 83-125). Channel active in month m when m &gt; rampMonths (1-indexed). Caveat: demand allocated to a channel during its ramp period is lost — totalAlloc is computed over all active channels regardless of ramp state. This is a v3.0 behavior the spreadsheet faithfully reproduces.</t>
  </si>
  <si>
    <t xml:space="preserve">Total Active %Alloc:</t>
  </si>
  <si>
    <t xml:space="preserve">Sum of pctAlloc where channel.active="Yes". Normalizer for per-channel allocation.</t>
  </si>
  <si>
    <t xml:space="preserve">Month #</t>
  </si>
  <si>
    <t xml:space="preserve">Y1 TOTAL</t>
  </si>
  <si>
    <t xml:space="preserve">Month Name</t>
  </si>
  <si>
    <t xml:space="preserve">Bar Adj Demand (Base × Season)</t>
  </si>
  <si>
    <t xml:space="preserve">Elec Adj Demand (Base × Season)</t>
  </si>
  <si>
    <t xml:space="preserve">INVENTORY &amp; PRODUCTION — BARS</t>
  </si>
  <si>
    <t xml:space="preserve">Bar Beg Inv</t>
  </si>
  <si>
    <t xml:space="preserve">Bar Safety Target</t>
  </si>
  <si>
    <t xml:space="preserve">Bar Production</t>
  </si>
  <si>
    <t xml:space="preserve">Bar Spoilage (units)</t>
  </si>
  <si>
    <t xml:space="preserve">Bar End Inv</t>
  </si>
  <si>
    <t xml:space="preserve">Bar MOQ Alert</t>
  </si>
  <si>
    <t xml:space="preserve">INVENTORY &amp; PRODUCTION — ELECTROLYTES</t>
  </si>
  <si>
    <t xml:space="preserve">Elec Beg Inv</t>
  </si>
  <si>
    <t xml:space="preserve">Elec Safety Target</t>
  </si>
  <si>
    <t xml:space="preserve">Elec Production</t>
  </si>
  <si>
    <t xml:space="preserve">Elec Spoilage (units)</t>
  </si>
  <si>
    <t xml:space="preserve">Elec End Inv</t>
  </si>
  <si>
    <t xml:space="preserve">Elec MOQ Alert</t>
  </si>
  <si>
    <t xml:space="preserve">CHANNEL ALLOCATION &amp; REVENUE (with ramp + cap enforced)</t>
  </si>
  <si>
    <t xml:space="preserve">— DTC (Website) —</t>
  </si>
  <si>
    <t xml:space="preserve">Active:</t>
  </si>
  <si>
    <t xml:space="preserve">Ramp:</t>
  </si>
  <si>
    <t xml:space="preserve">Max/mo:</t>
  </si>
  <si>
    <t xml:space="preserve">  Bar Units</t>
  </si>
  <si>
    <t xml:space="preserve">  Elec Units</t>
  </si>
  <si>
    <t xml:space="preserve">  Revenue</t>
  </si>
  <si>
    <t xml:space="preserve">  Channel Costs</t>
  </si>
  <si>
    <t xml:space="preserve">— Amazon —</t>
  </si>
  <si>
    <t xml:space="preserve">— Big Box Retail —</t>
  </si>
  <si>
    <t xml:space="preserve">— Natural/Specialty —</t>
  </si>
  <si>
    <t xml:space="preserve">— Vitamin Shops —</t>
  </si>
  <si>
    <t xml:space="preserve">— Distributors —</t>
  </si>
  <si>
    <t xml:space="preserve">MONTHLY SUMMARY</t>
  </si>
  <si>
    <t xml:space="preserve">Gross Revenue</t>
  </si>
  <si>
    <t xml:space="preserve">Returns (2% gross)</t>
  </si>
  <si>
    <t xml:space="preserve">Net Revenue</t>
  </si>
  <si>
    <t xml:space="preserve">Total Channel Costs</t>
  </si>
  <si>
    <t xml:space="preserve">Payroll (monthly Y1)</t>
  </si>
  <si>
    <t xml:space="preserve">Note: 'Net Revenue' here (sum of monthly) will be SLIGHTLY LOWER than the annual P&amp;L revenue on CALC_PL, because monthly enforces channel ramp delays while the annual calc does not. This is a v3.0 inconsistency the spreadsheet preserves. AUDIT tab will quantify the gap.</t>
  </si>
  <si>
    <t xml:space="preserve">CALC_PL — 5-Year P&amp;L (Bars + Ingredient Licensing)</t>
  </si>
  <si>
    <t xml:space="preserve">Mirrors model.js lines 144-226. Uses v3.0 ORIGINAL bar/elec COGS (col I on CALC_COGS) so this P&amp;L reproduces the deck. Corrected COGS (col K on CALC_COGS, no overhead double-count) gives ~$30-50K higher EBITDA/yr at scale — shown in AUDIT (Pass 3). Bars revenue ignores channel ramp+cap (per model.js); use CALC_MONTHLY Y1 Total for ramp-aware Y1 revenue.</t>
  </si>
  <si>
    <t xml:space="preserve">Line Item</t>
  </si>
  <si>
    <t xml:space="preserve">Year 1</t>
  </si>
  <si>
    <t xml:space="preserve">Year 2</t>
  </si>
  <si>
    <t xml:space="preserve">Year 3</t>
  </si>
  <si>
    <t xml:space="preserve">Year 4</t>
  </si>
  <si>
    <t xml:space="preserve">Year 5</t>
  </si>
  <si>
    <t xml:space="preserve">5-Yr Total</t>
  </si>
  <si>
    <t xml:space="preserve">Cumulative Growth Factor</t>
  </si>
  <si>
    <t xml:space="preserve">Bar Units</t>
  </si>
  <si>
    <t xml:space="preserve">Elec Units</t>
  </si>
  <si>
    <t xml:space="preserve">Total Units</t>
  </si>
  <si>
    <t xml:space="preserve">Operating Tier</t>
  </si>
  <si>
    <t xml:space="preserve">Bar COGS/Unit (v3.0)</t>
  </si>
  <si>
    <t xml:space="preserve">Elec COGS/Unit (v3.0)</t>
  </si>
  <si>
    <t xml:space="preserve">REVENUE</t>
  </si>
  <si>
    <t xml:space="preserve">Bars Gross Revenue (annual, no ramp/cap)</t>
  </si>
  <si>
    <t xml:space="preserve">Returns</t>
  </si>
  <si>
    <t xml:space="preserve">Bars Net Revenue</t>
  </si>
  <si>
    <t xml:space="preserve">Ingredient Licensing Revenue</t>
  </si>
  <si>
    <t xml:space="preserve">TOTAL NET REVENUE</t>
  </si>
  <si>
    <t xml:space="preserve">COGS</t>
  </si>
  <si>
    <t xml:space="preserve">Bars COGS</t>
  </si>
  <si>
    <t xml:space="preserve">Licensing COGS</t>
  </si>
  <si>
    <t xml:space="preserve">TOTAL COGS</t>
  </si>
  <si>
    <t xml:space="preserve">GROSS PROFIT</t>
  </si>
  <si>
    <t xml:space="preserve">Gross Margin %</t>
  </si>
  <si>
    <t xml:space="preserve">OPEX</t>
  </si>
  <si>
    <t xml:space="preserve">Channel Costs</t>
  </si>
  <si>
    <t xml:space="preserve">Fixed Overhead</t>
  </si>
  <si>
    <t xml:space="preserve">Marketing</t>
  </si>
  <si>
    <t xml:space="preserve">Payroll</t>
  </si>
  <si>
    <t xml:space="preserve">BD/Sales</t>
  </si>
  <si>
    <t xml:space="preserve">Clinical &amp; IP</t>
  </si>
  <si>
    <t xml:space="preserve">G&amp;A</t>
  </si>
  <si>
    <t xml:space="preserve">Carrying Cost</t>
  </si>
  <si>
    <t xml:space="preserve">Spoilage Cost</t>
  </si>
  <si>
    <t xml:space="preserve">Commitments</t>
  </si>
  <si>
    <t xml:space="preserve">Debt Service</t>
  </si>
  <si>
    <t xml:space="preserve">TOTAL OPEX</t>
  </si>
  <si>
    <t xml:space="preserve">EBITDA</t>
  </si>
  <si>
    <t xml:space="preserve">EBITDA Margin %</t>
  </si>
  <si>
    <t xml:space="preserve">Cumulative EBITDA</t>
  </si>
  <si>
    <t xml:space="preserve">Simple Cash Balance (EBITDA-as-cash)</t>
  </si>
  <si>
    <t xml:space="preserve">No working-capital changes. Real cash projection in CALC_CASH (Pass 3).</t>
  </si>
  <si>
    <t xml:space="preserve">CALC_CASH — 60-Month Cash Flow with Working Capital</t>
  </si>
  <si>
    <t xml:space="preserve">Proper 60-month cash flow that v3.0 does NOT compute (v3.0 just spreads annual EBITDA / 12). Adds working-capital changes: receivables (AR), inventory build, payables (AP). Y1 pulls actual monthly seasonality from CALC_MONTHLY. Y2-Y5 smooth annual P&amp;L / 12. OpEx smoothed annually. Initial cash = starting cash + equity raised + debt - startup capex (booked at month 0).</t>
  </si>
  <si>
    <t xml:space="preserve">ASSUMPTIONS (edit these to test sensitivity)</t>
  </si>
  <si>
    <t xml:space="preserve">DTC ~3d, Amazon ~14d, retail/distrib Net 45-60; blended weighted by channel mix + conservative bias</t>
  </si>
  <si>
    <t xml:space="preserve">60d typical for emerging CPG (safety stock + MOQ overhang + slow-moving wholesale)</t>
  </si>
  <si>
    <t xml:space="preserve">Net 30 typical for co-man + raw materials</t>
  </si>
  <si>
    <t xml:space="preserve">Total Initial Capital</t>
  </si>
  <si>
    <t xml:space="preserve">Less: Startup Capex</t>
  </si>
  <si>
    <t xml:space="preserve">Net Starting Cash</t>
  </si>
  <si>
    <t xml:space="preserve">Mo#</t>
  </si>
  <si>
    <t xml:space="preserve">Year</t>
  </si>
  <si>
    <t xml:space="preserve">M</t>
  </si>
  <si>
    <t xml:space="preserve">Net Rev</t>
  </si>
  <si>
    <t xml:space="preserve">OpEx</t>
  </si>
  <si>
    <t xml:space="preserve">AR Bal</t>
  </si>
  <si>
    <t xml:space="preserve">ΔAR</t>
  </si>
  <si>
    <t xml:space="preserve">Inv Bal</t>
  </si>
  <si>
    <t xml:space="preserve">ΔInv</t>
  </si>
  <si>
    <t xml:space="preserve">AP Bal</t>
  </si>
  <si>
    <t xml:space="preserve">ΔAP</t>
  </si>
  <si>
    <t xml:space="preserve">Net Cash Δ</t>
  </si>
  <si>
    <t xml:space="preserve">Beg Cash</t>
  </si>
  <si>
    <t xml:space="preserve">End Cash</t>
  </si>
  <si>
    <t xml:space="preserve">Min Cash</t>
  </si>
  <si>
    <t xml:space="preserve">Cum EBITDA</t>
  </si>
  <si>
    <t xml:space="preserve">BE Mo</t>
  </si>
  <si>
    <t xml:space="preserve">KEY METRICS</t>
  </si>
  <si>
    <t xml:space="preserve">Peak Cash Need (lowest End Cash)</t>
  </si>
  <si>
    <t xml:space="preserve">Month # of Peak Cash Need</t>
  </si>
  <si>
    <t xml:space="preserve">Cash at end of Y5</t>
  </si>
  <si>
    <t xml:space="preserve">Y1 Trough Cash</t>
  </si>
  <si>
    <t xml:space="preserve">Months 1-12</t>
  </si>
  <si>
    <t xml:space="preserve">Y2 Trough Cash</t>
  </si>
  <si>
    <t xml:space="preserve">Months 13-24 (deck claim: $968K)</t>
  </si>
  <si>
    <t xml:space="preserve">Total Capital Needed</t>
  </si>
  <si>
    <t xml:space="preserve">Startup capex + max negative cash position</t>
  </si>
  <si>
    <t xml:space="preserve">Cumulative EBITDA Breakeven Month</t>
  </si>
  <si>
    <t xml:space="preserve">First month where running cumulative EBITDA turns positive</t>
  </si>
  <si>
    <t xml:space="preserve">DASHBOARD — Deck Claims Sourced to Formulas</t>
  </si>
  <si>
    <t xml:space="preserve">Every quantitative claim in the pitch deck, traced to a live formula. Workbook column is computed from current INPUTS. Verdict: ✓ matches deck | ⚠ minor caveat | ✗ contradicted by model | i informational.</t>
  </si>
  <si>
    <t xml:space="preserve">Metric</t>
  </si>
  <si>
    <t xml:space="preserve">Deck Claim</t>
  </si>
  <si>
    <t xml:space="preserve">Workbook</t>
  </si>
  <si>
    <t xml:space="preserve">Verdict</t>
  </si>
  <si>
    <t xml:space="preserve">Source</t>
  </si>
  <si>
    <t xml:space="preserve">TOP-LINE FINANCIALS</t>
  </si>
  <si>
    <t xml:space="preserve">Y1 Net Revenue</t>
  </si>
  <si>
    <t xml:space="preserve">$281K (calc v6, ramp-adjusted)</t>
  </si>
  <si>
    <t xml:space="preserve">⚠</t>
  </si>
  <si>
    <t xml:space="preserve">CALC_PL!B19</t>
  </si>
  <si>
    <t xml:space="preserve">Calc v6 Y1 uses monthly engine (respects channel ramps) = $281K. This workbook uses annual P&amp;L aggregate = $299K. 6% divergence is the Y1-ramp issue Ben flagged in AUDIT Sec A. To reconcile, edit CALC_PL!B15 to pull from CALC_MONTHLY.</t>
  </si>
  <si>
    <t xml:space="preserve">Y2 Net Revenue</t>
  </si>
  <si>
    <t xml:space="preserve">$1.25M</t>
  </si>
  <si>
    <t xml:space="preserve">✓</t>
  </si>
  <si>
    <t xml:space="preserve">CALC_PL!C19</t>
  </si>
  <si>
    <t xml:space="preserve">Y3 Net Revenue</t>
  </si>
  <si>
    <t xml:space="preserve">$4.5M</t>
  </si>
  <si>
    <t xml:space="preserve">CALC_PL!D19</t>
  </si>
  <si>
    <t xml:space="preserve">Y4 Net Revenue</t>
  </si>
  <si>
    <t xml:space="preserve">$10.5M</t>
  </si>
  <si>
    <t xml:space="preserve">CALC_PL!E19</t>
  </si>
  <si>
    <t xml:space="preserve">Y5 Net Revenue</t>
  </si>
  <si>
    <t xml:space="preserve">$22M</t>
  </si>
  <si>
    <t xml:space="preserve">CALC_PL!F19</t>
  </si>
  <si>
    <t xml:space="preserve">5-Year Cumulative Revenue</t>
  </si>
  <si>
    <t xml:space="preserve">$38.5M</t>
  </si>
  <si>
    <t xml:space="preserve">CALC_PL!G19</t>
  </si>
  <si>
    <t xml:space="preserve">PROFITABILITY</t>
  </si>
  <si>
    <t xml:space="preserve">Y1 EBITDA</t>
  </si>
  <si>
    <t xml:space="preserve">-$633K</t>
  </si>
  <si>
    <t xml:space="preserve">CALC_PL!B42</t>
  </si>
  <si>
    <t xml:space="preserve">Calc v6 EBITDA = -$633K (with Y1 ramp fix + WC); workbook = -$619K (annual aggregate, no ramp fix). 2% divergence stems from Y1 revenue methodology (see R6 note).</t>
  </si>
  <si>
    <t xml:space="preserve">Y2 EBITDA</t>
  </si>
  <si>
    <t xml:space="preserve">-$793K</t>
  </si>
  <si>
    <t xml:space="preserve">CALC_PL!C42</t>
  </si>
  <si>
    <t xml:space="preserve">Y3 EBITDA</t>
  </si>
  <si>
    <t xml:space="preserve">+$577K</t>
  </si>
  <si>
    <t xml:space="preserve">CALC_PL!D42</t>
  </si>
  <si>
    <t xml:space="preserve">First year with positive annual EBITDA</t>
  </si>
  <si>
    <t xml:space="preserve">Y4 EBITDA</t>
  </si>
  <si>
    <t xml:space="preserve">+$3.49M</t>
  </si>
  <si>
    <t xml:space="preserve">CALC_PL!E42</t>
  </si>
  <si>
    <t xml:space="preserve">Y5 EBITDA</t>
  </si>
  <si>
    <t xml:space="preserve">+$9.85M</t>
  </si>
  <si>
    <t xml:space="preserve">CALC_PL!F42</t>
  </si>
  <si>
    <t xml:space="preserve">5-Year Cumulative EBITDA</t>
  </si>
  <si>
    <t xml:space="preserve">~$12.5M</t>
  </si>
  <si>
    <t xml:space="preserve">CALC_PL!G42</t>
  </si>
  <si>
    <t xml:space="preserve">Calc v6 cumulative = $12.49M; workbook = $12.55M. Within rounding.</t>
  </si>
  <si>
    <t xml:space="preserve">Y3 Gross Margin</t>
  </si>
  <si>
    <t xml:space="preserve">68%</t>
  </si>
  <si>
    <t xml:space="preserve">CALC_PL!D26</t>
  </si>
  <si>
    <t xml:space="preserve">Y5 Gross Margin</t>
  </si>
  <si>
    <t xml:space="preserve">72%</t>
  </si>
  <si>
    <t xml:space="preserve">CALC_PL!F26</t>
  </si>
  <si>
    <t xml:space="preserve">Y5 EBITDA Margin</t>
  </si>
  <si>
    <t xml:space="preserve">45%</t>
  </si>
  <si>
    <t xml:space="preserve">CALC_PL!F43</t>
  </si>
  <si>
    <t xml:space="preserve">UNIT ECONOMICS (BARS)</t>
  </si>
  <si>
    <t xml:space="preserve">Bar MSRP (DTC)</t>
  </si>
  <si>
    <t xml:space="preserve">$3.49</t>
  </si>
  <si>
    <t xml:space="preserve">INPUTS (barMSRP)</t>
  </si>
  <si>
    <t xml:space="preserve">Bar COGS @ 10K-100K (T3, v3.0)</t>
  </si>
  <si>
    <t xml:space="preserve">$1.83</t>
  </si>
  <si>
    <t xml:space="preserve">CALC_COGS!I (T3)</t>
  </si>
  <si>
    <t xml:space="preserve">Matches deck OpEx footnote</t>
  </si>
  <si>
    <t xml:space="preserve">Bar COGS @ 1M+ (T6, v3.0)</t>
  </si>
  <si>
    <t xml:space="preserve">$1.34</t>
  </si>
  <si>
    <t xml:space="preserve">CALC_COGS!I (T6)</t>
  </si>
  <si>
    <t xml:space="preserve">Bar COGS @ 25K (deck unit-econ slide)</t>
  </si>
  <si>
    <t xml:space="preserve">$1.59</t>
  </si>
  <si>
    <t xml:space="preserve">✗</t>
  </si>
  <si>
    <t xml:space="preserve">Deck unit-econ slide says $1.59; model produces $1.83 at T3. Internal deck inconsistency.</t>
  </si>
  <si>
    <t xml:space="preserve">Bar COGS @ 100K (deck unit-econ slide)</t>
  </si>
  <si>
    <t xml:space="preserve">$1.35</t>
  </si>
  <si>
    <t xml:space="preserve">CALC_COGS!I (T4)</t>
  </si>
  <si>
    <t xml:space="preserve">Deck says $1.35; model produces $1.64 at T4. Same inconsistency.</t>
  </si>
  <si>
    <t xml:space="preserve">CASH FLOW</t>
  </si>
  <si>
    <t xml:space="preserve">Y2 Cash Trough</t>
  </si>
  <si>
    <t xml:space="preserve">$780K</t>
  </si>
  <si>
    <t xml:space="preserve">CALC_CASH (key metric)</t>
  </si>
  <si>
    <t xml:space="preserve">Calc v6 now includes WC modeling; trough is 19% deeper than simple-EBITDA view showed</t>
  </si>
  <si>
    <t xml:space="preserve">Y5 Cash Balance</t>
  </si>
  <si>
    <t xml:space="preserve">~$12.2M</t>
  </si>
  <si>
    <t xml:space="preserve">Calc v6 includes WC; reduced ~$2.8M tied up in AR/Inv build over 5 years</t>
  </si>
  <si>
    <t xml:space="preserve">Total Capital Need</t>
  </si>
  <si>
    <t xml:space="preserve">$2.5M raise sufficient</t>
  </si>
  <si>
    <t xml:space="preserve">Compare against $100K starting + $2.5M raise = $2.6M available</t>
  </si>
  <si>
    <t xml:space="preserve">Cumulative Breakeven Month</t>
  </si>
  <si>
    <t xml:space="preserve">~Y4</t>
  </si>
  <si>
    <t xml:space="preserve">Calc v6 now exposes cumulative breakeven distinctly from single-year EBITDA+ (Y3 single / Y4 cumulative)</t>
  </si>
  <si>
    <t xml:space="preserve">Peak Cash Need (lowest balance)</t>
  </si>
  <si>
    <t xml:space="preserve">-</t>
  </si>
  <si>
    <t xml:space="preserve">i</t>
  </si>
  <si>
    <t xml:space="preserve">Lowest single-month end-of-month cash position over 60 months</t>
  </si>
  <si>
    <t xml:space="preserve">OPERATIONS</t>
  </si>
  <si>
    <t xml:space="preserve">Y1 Bars Units (deck conflates units)</t>
  </si>
  <si>
    <t xml:space="preserve">135K</t>
  </si>
  <si>
    <t xml:space="preserve">CALC_PL B7+B8</t>
  </si>
  <si>
    <t xml:space="preserve">Deck conflates "bars" with bars+electrolytes. Bars alone = ~71K; combined = ~138K.</t>
  </si>
  <si>
    <t xml:space="preserve">Y5 Bars Units (deck conflates units)</t>
  </si>
  <si>
    <t xml:space="preserve">1.81M</t>
  </si>
  <si>
    <t xml:space="preserve">CALC_PL F7+F8</t>
  </si>
  <si>
    <t xml:space="preserve">Bars alone Y5 = 948K. Combined = 1.84M.</t>
  </si>
  <si>
    <t xml:space="preserve">Y3 Operating Tier</t>
  </si>
  <si>
    <t xml:space="preserve">Tier 5</t>
  </si>
  <si>
    <t xml:space="preserve">CALC_PL!D10</t>
  </si>
  <si>
    <t xml:space="preserve">687K total units → tier 5 (500K-1M)</t>
  </si>
  <si>
    <t xml:space="preserve">SEED FUNDING</t>
  </si>
  <si>
    <t xml:space="preserve">Seed Raise</t>
  </si>
  <si>
    <t xml:space="preserve">$2.5M</t>
  </si>
  <si>
    <t xml:space="preserve">$100K</t>
  </si>
  <si>
    <t xml:space="preserve">Startup Capex</t>
  </si>
  <si>
    <t xml:space="preserve">~$233K</t>
  </si>
  <si>
    <t xml:space="preserve">INPUTS (sum of launch)</t>
  </si>
  <si>
    <t xml:space="preserve">Sum of pre-launch expense line items</t>
  </si>
  <si>
    <t xml:space="preserve">Returns / Allowances</t>
  </si>
  <si>
    <t xml:space="preserve">2%</t>
  </si>
  <si>
    <t xml:space="preserve">AUDIT — Divergences and Bug Fixes Quantified</t>
  </si>
  <si>
    <t xml:space="preserve">Side-by-side reconciliation: v3.0 vs corrected. Review before any investor-facing use.</t>
  </si>
  <si>
    <t xml:space="preserve">A. Y1 RAMP-LOSS QUANTIFICATION</t>
  </si>
  <si>
    <t xml:space="preserve">v3.0 annual P&amp;L ignores channel ramp delays. totalAlloc is summed over all active channels even if some haven't ramped yet, so demand allocated to unramped channels is silently dropped. Monthly engine handles this correctly. Y1 impact:</t>
  </si>
  <si>
    <t xml:space="preserve">Y1 Bars Net Revenue (annual P&amp;L)</t>
  </si>
  <si>
    <t xml:space="preserve">Annual calc - ramp ignored</t>
  </si>
  <si>
    <t xml:space="preserve">Y1 Bars Net Revenue (sum of monthly)</t>
  </si>
  <si>
    <t xml:space="preserve">Monthly engine - ramp enforced</t>
  </si>
  <si>
    <t xml:space="preserve">Ramp Loss ($)</t>
  </si>
  <si>
    <t xml:space="preserve">Annual figure overstates monthly reality by this amount</t>
  </si>
  <si>
    <t xml:space="preserve">Ramp Loss (% of annual revenue)</t>
  </si>
  <si>
    <t xml:space="preserve">B. COGS OVERHEAD DOUBLE-COUNT IMPACT</t>
  </si>
  <si>
    <t xml:space="preserve">v3.0 includes fixedOverhead in per-unit COGS (ohAtTier) AND in OpEx (annual fixed-OH line). Same $ counted twice. Corrected COGS removes overhead from per-unit (it remains in OpEx). Impact by tier:</t>
  </si>
  <si>
    <t xml:space="preserve">Bar v3.0</t>
  </si>
  <si>
    <t xml:space="preserve">Bar Corrected</t>
  </si>
  <si>
    <t xml:space="preserve">Diff</t>
  </si>
  <si>
    <t xml:space="preserve">Elec v3.0</t>
  </si>
  <si>
    <t xml:space="preserve">Elec Corrected</t>
  </si>
  <si>
    <t xml:space="preserve">Tier 1</t>
  </si>
  <si>
    <t xml:space="preserve">Tier 2</t>
  </si>
  <si>
    <t xml:space="preserve">Tier 3</t>
  </si>
  <si>
    <t xml:space="preserve">Tier 4</t>
  </si>
  <si>
    <t xml:space="preserve">Tier 6</t>
  </si>
  <si>
    <t xml:space="preserve">Tier 7</t>
  </si>
  <si>
    <t xml:space="preserve">YEAR-BY-YEAR EBITDA IMPACT IF COGS BUG FIXED</t>
  </si>
  <si>
    <t xml:space="preserve">5-Yr</t>
  </si>
  <si>
    <t xml:space="preserve">Bars COGS - v3.0 (current P&amp;L)</t>
  </si>
  <si>
    <t xml:space="preserve">Bars COGS - Corrected (no OH double-count)</t>
  </si>
  <si>
    <t xml:space="preserve">EBITDA Improvement from Fix</t>
  </si>
  <si>
    <t xml:space="preserve">Corrected EBITDA (if fix applied)</t>
  </si>
  <si>
    <t xml:space="preserve">EBITDA if v3.0 bug were fixed</t>
  </si>
  <si>
    <t xml:space="preserve">C. BREAKEVEN - TWO INTERPRETATIONS</t>
  </si>
  <si>
    <t xml:space="preserve">Deck claims "Y3 breakeven". Ambiguous between (a) first year with positive annual EBITDA - TRUE: Y3 +$599K, and (b) cumulative breakeven where cumulative profits cover cumulative losses - FALSE: cum EBITDA stays negative through Y3.</t>
  </si>
  <si>
    <t xml:space="preserve">Annual EBITDA</t>
  </si>
  <si>
    <t xml:space="preserve">Single-year breakeven</t>
  </si>
  <si>
    <t xml:space="preserve">First year with annual EBITDA &gt; 0</t>
  </si>
  <si>
    <t xml:space="preserve">Cumulative breakeven</t>
  </si>
  <si>
    <t xml:space="preserve">First year with cumulative EBITDA &gt; 0</t>
  </si>
  <si>
    <t xml:space="preserve">D. ALL KNOWN ISSUES INHERITED FROM v3.0</t>
  </si>
  <si>
    <t xml:space="preserve">✓ FIXED IN CALC v6</t>
  </si>
  <si>
    <t xml:space="preserve">   Description: fixedOverhead appears in both per-unit COGS (ohAtTier) and OpEx (annual fixed-OH). Same $ counted twice.</t>
  </si>
  <si>
    <t xml:space="preserve">   Status:      ✓ FIXED in monchmonch-calc v6 (commit 17b1d91, 2026-05-23). ohAtTier() removed from cogsWaterfall.</t>
  </si>
  <si>
    <t xml:space="preserve">2. COGS overhead dimensionally broken</t>
  </si>
  <si>
    <t xml:space="preserve">   Description: Formula = fixedOverhead / midVol[tier]. Divides monthly $ by annual units. Magnitude arbitrary.</t>
  </si>
  <si>
    <t xml:space="preserve">   Status:      ✓ FIXED — resolved by Issue #1 removal.</t>
  </si>
  <si>
    <t xml:space="preserve">3. Channel ramp not enforced in annual P&amp;L</t>
  </si>
  <si>
    <t xml:space="preserve">   Description: Monthly engine respects rampMonths; annual calc does not. Annual P&amp;L overstates revenue vs sum-of-monthly.</t>
  </si>
  <si>
    <t xml:space="preserve">   Status:      ✓ FIXED — Y1 P&amp;L now aggregates from monthly engine (which respects ramps). Y2+ ramps complete.</t>
  </si>
  <si>
    <t xml:space="preserve">4. v3.0 cash flow is cumulative EBITDA</t>
  </si>
  <si>
    <t xml:space="preserve">✓ FIXED IN CALC v6 + WORKBOOK</t>
  </si>
  <si>
    <t xml:space="preserve">   Description: No working capital, no AR/AP, no inventory build. The "$968K Y2 trough" comes from annual EBITDA / 12.</t>
  </si>
  <si>
    <t xml:space="preserve">   Status:      ✓ FIXED IN BOTH — calc v6 now has proper AR/Inv/AP cash flow modeling matching this workbook.</t>
  </si>
  <si>
    <t xml:space="preserve">5. Bar BOM 8 of 14 items placeholder qty=0</t>
  </si>
  <si>
    <t xml:space="preserve">   Description: Milk Protein Isolate, Tapioca Fiber, IMO, Veg Glycerin, Cocoa Butter, Sunflower Lecithin, Salt, Cocoa Soy Crisp all qty=0 in constants.js.</t>
  </si>
  <si>
    <t xml:space="preserve">   Status:      ✓ FIXED IN BOTH — bar BOM now has 14 populated ingredients (Tapioca slot reassigned to Monch Fiber — the brand IP). Calc has 15 (Monch Fiber added as 15th row).</t>
  </si>
  <si>
    <t xml:space="preserve">6. Deck COGS off-model (unit-econ slide)</t>
  </si>
  <si>
    <t xml:space="preserve">✓ FIXED IN PITCH v5.2</t>
  </si>
  <si>
    <t xml:space="preserve">   Description: Deck unit-econ slide cites $1.59 @ 25K and $1.35 @ 100K. Model produces $1.83 and $1.64. Deck OpEx footnote uses correct v3.0 figures.</t>
  </si>
  <si>
    <t xml:space="preserve">   Status:      ✓ FIXED — pitch deck unit-econ slide updated 2026-05-20 (commit 3575f71): $1.59 → $1.83 @ 25K; $1.35 → $1.64 @ 100K. Now matches model.</t>
  </si>
  <si>
    <t xml:space="preserve">7. Channel max-monthly caps ignored in annual calc</t>
  </si>
  <si>
    <t xml:space="preserve">   Description: computeChannelRevenue() only applies maxMonthlyUnits when month is specified. Annual P&amp;L ignores caps.</t>
  </si>
  <si>
    <t xml:space="preserve">   Status:      ✓ FIXED — annual P&amp;L now uses monthly aggregate for Y1 which applies maxMonthlyUnits caps.</t>
  </si>
  <si>
    <t xml:space="preserve">8. Phantom inputs</t>
  </si>
  <si>
    <t xml:space="preserve">✓ DOCUMENTED</t>
  </si>
  <si>
    <t xml:space="preserve">   Description: targetDOI, insurancePct, costOfCapitalPct exist in INPUTS but model.js never references them.</t>
  </si>
  <si>
    <t xml:space="preserve">   Status:      ✓ DOCUMENTED in calc v6 source + INPUTS tab. No functional impact.</t>
  </si>
  <si>
    <t xml:space="preserve">9. "Y3 breakeven" claim is ambiguous</t>
  </si>
  <si>
    <t xml:space="preserve">✓ DISCLOSED IN PITCH v5.3</t>
  </si>
  <si>
    <t xml:space="preserve">   Description: Deck says "breakeven Y3". True for single-year EBITDA (Y3 +$599K). False for cumulative (cum EBITDA stays negative through Y3, crosses positive in Y4).</t>
  </si>
  <si>
    <t xml:space="preserve">   Status:      ✓ DISCLOSED — pitch now cites BOTH single-year EBITDA+ Y3 (Month 25) AND cumulative breakeven Y4 (Month 39). Calc exposes both via breakEvenMonth + cumulativeBreakEvenMonth.</t>
  </si>
  <si>
    <t xml:space="preserve">10. v2.0 vs v3.0 mismatch (deck vs live calculator)</t>
  </si>
  <si>
    <t xml:space="preserve">   Description: Deck numbers come from v3.0 source code, but the live URL (monchmonch-calc.vercel.app) serves v2.0. An investor clicking the link sees a different model.</t>
  </si>
  <si>
    <t xml:space="preserve">   Status:      ✓ FIXED — live calc deployed at monchmonch-calc.vercel.app is v6.0 (bundle index-EY3WktBi.js, deployed 2026-05-23). Matches deck.</t>
  </si>
</sst>
</file>

<file path=xl/styles.xml><?xml version="1.0" encoding="utf-8"?>
<styleSheet xmlns="http://schemas.openxmlformats.org/spreadsheetml/2006/main">
  <numFmts count="8">
    <numFmt numFmtId="164" formatCode="General"/>
    <numFmt numFmtId="165" formatCode="0.0%;\(0.0%\);\-"/>
    <numFmt numFmtId="166" formatCode="#,##0;\(#,##0\);\-"/>
    <numFmt numFmtId="167" formatCode="\$#,##0.00;&quot;($&quot;#,##0.00\);\-"/>
    <numFmt numFmtId="168" formatCode="\$#,##0;&quot;($&quot;#,##0\);\-"/>
    <numFmt numFmtId="169" formatCode="#,##0.00;\(#,##0.00\);\-"/>
    <numFmt numFmtId="170" formatCode="#,##0.0000;\(#,##0.0000\);\-"/>
    <numFmt numFmtId="171" formatCode="\$#,##0.0000;&quot;($&quot;#,##0.0000\);\-"/>
  </numFmts>
  <fonts count="19">
    <font>
      <sz val="11"/>
      <color theme="1"/>
      <name val="Calibri"/>
      <family val="0"/>
      <charset val="1"/>
    </font>
    <font>
      <sz val="10"/>
      <name val="Arial"/>
      <family val="0"/>
    </font>
    <font>
      <sz val="10"/>
      <name val="Arial"/>
      <family val="0"/>
    </font>
    <font>
      <sz val="10"/>
      <name val="Arial"/>
      <family val="0"/>
    </font>
    <font>
      <b val="true"/>
      <sz val="14"/>
      <color rgb="FF1F4E78"/>
      <name val="Arial"/>
      <family val="0"/>
      <charset val="1"/>
    </font>
    <font>
      <b val="true"/>
      <sz val="10"/>
      <color rgb="FF000000"/>
      <name val="Arial"/>
      <family val="0"/>
      <charset val="1"/>
    </font>
    <font>
      <sz val="10"/>
      <color rgb="FF000000"/>
      <name val="Arial"/>
      <family val="0"/>
      <charset val="1"/>
    </font>
    <font>
      <b val="true"/>
      <sz val="12"/>
      <color rgb="FF1F4E78"/>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i val="true"/>
      <sz val="10"/>
      <color rgb="FF000000"/>
      <name val="Arial"/>
      <family val="0"/>
      <charset val="1"/>
    </font>
    <font>
      <b val="true"/>
      <sz val="12"/>
      <name val="Cambria"/>
      <family val="0"/>
      <charset val="1"/>
    </font>
    <font>
      <b val="true"/>
      <sz val="11"/>
      <name val="Cambria"/>
      <family val="0"/>
      <charset val="1"/>
    </font>
    <font>
      <sz val="10"/>
      <color rgb="FF008000"/>
      <name val="Arial"/>
      <family val="0"/>
      <charset val="1"/>
    </font>
    <font>
      <b val="true"/>
      <sz val="10"/>
      <color rgb="FF008000"/>
      <name val="Arial"/>
      <family val="0"/>
      <charset val="1"/>
    </font>
    <font>
      <b val="true"/>
      <sz val="10"/>
      <color rgb="FFCC0000"/>
      <name val="Arial"/>
      <family val="0"/>
      <charset val="1"/>
    </font>
    <font>
      <b val="true"/>
      <sz val="10"/>
      <color rgb="FFD97706"/>
      <name val="Arial"/>
      <family val="0"/>
      <charset val="1"/>
    </font>
    <font>
      <b val="true"/>
      <sz val="10"/>
      <color rgb="FF595959"/>
      <name val="Arial"/>
      <family val="0"/>
      <charset val="1"/>
    </font>
  </fonts>
  <fills count="6">
    <fill>
      <patternFill patternType="none"/>
    </fill>
    <fill>
      <patternFill patternType="gray125"/>
    </fill>
    <fill>
      <patternFill patternType="solid">
        <fgColor rgb="FFD9E1F2"/>
        <bgColor rgb="FFF2F2F2"/>
      </patternFill>
    </fill>
    <fill>
      <patternFill patternType="solid">
        <fgColor rgb="FF1F4E78"/>
        <bgColor rgb="FF003366"/>
      </patternFill>
    </fill>
    <fill>
      <patternFill patternType="solid">
        <fgColor rgb="FFFFE699"/>
        <bgColor rgb="FFFFCC99"/>
      </patternFill>
    </fill>
    <fill>
      <patternFill patternType="solid">
        <fgColor rgb="FFF2F2F2"/>
        <bgColor rgb="FFFFFFFF"/>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6" fontId="9" fillId="4"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5" fontId="9" fillId="4"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7" fontId="9" fillId="5" borderId="0" xfId="0" applyFont="true" applyBorder="false" applyAlignment="true" applyProtection="false">
      <alignment horizontal="general" vertical="bottom" textRotation="0" wrapText="false" indent="0" shrinkToFit="false"/>
      <protection locked="true" hidden="false"/>
    </xf>
    <xf numFmtId="165" fontId="9" fillId="5" borderId="0" xfId="0" applyFont="true" applyBorder="false" applyAlignment="true" applyProtection="false">
      <alignment horizontal="general" vertical="bottom" textRotation="0" wrapText="false" indent="0" shrinkToFit="false"/>
      <protection locked="true" hidden="false"/>
    </xf>
    <xf numFmtId="168" fontId="9" fillId="5"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71" fontId="14" fillId="0" borderId="0" xfId="0" applyFont="true" applyBorder="false" applyAlignment="tru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71" fontId="5" fillId="5" borderId="0" xfId="0" applyFont="tru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71" fontId="14" fillId="4" borderId="0" xfId="0" applyFont="true" applyBorder="fals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8" fontId="5" fillId="5" borderId="0" xfId="0" applyFont="tru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66" fontId="6" fillId="5" borderId="0" xfId="0" applyFont="true" applyBorder="false" applyAlignment="true" applyProtection="false">
      <alignment horizontal="general" vertical="bottom" textRotation="0" wrapText="false" indent="0" shrinkToFit="false"/>
      <protection locked="true" hidden="false"/>
    </xf>
    <xf numFmtId="168" fontId="14" fillId="5" borderId="0" xfId="0" applyFont="true" applyBorder="false" applyAlignment="true" applyProtection="false">
      <alignment horizontal="general" vertical="bottom" textRotation="0" wrapText="false" indent="0" shrinkToFit="false"/>
      <protection locked="true" hidden="false"/>
    </xf>
    <xf numFmtId="168" fontId="6" fillId="5"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8" fontId="14"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5" fontId="14" fillId="0" borderId="0" xfId="0" applyFont="true" applyBorder="false" applyAlignment="true" applyProtection="false">
      <alignment horizontal="right" vertical="center" textRotation="0" wrapText="false" indent="0" shrinkToFit="false"/>
      <protection locked="true" hidden="false"/>
    </xf>
    <xf numFmtId="167" fontId="14"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6" fontId="14" fillId="0"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D97706"/>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69.71"/>
    <col collapsed="false" customWidth="true" hidden="false" outlineLevel="0" max="2" min="2" style="1" width="90"/>
    <col collapsed="false" customWidth="true" hidden="false" outlineLevel="0" max="26" min="3" style="1" width="8.71"/>
  </cols>
  <sheetData>
    <row r="1" customFormat="false" ht="21.75" hidden="false" customHeight="true" outlineLevel="0" collapsed="false">
      <c r="A1" s="2" t="s">
        <v>0</v>
      </c>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23.25" hidden="false" customHeight="true" outlineLevel="0" collapsed="false">
      <c r="A6" s="3" t="s">
        <v>7</v>
      </c>
      <c r="B6" s="4" t="s">
        <v>8</v>
      </c>
    </row>
    <row r="7" customFormat="false" ht="15" hidden="false" customHeight="true" outlineLevel="0" collapsed="false">
      <c r="A7" s="5"/>
      <c r="B7" s="4"/>
    </row>
    <row r="8" customFormat="false" ht="18" hidden="false" customHeight="true" outlineLevel="0" collapsed="false">
      <c r="A8" s="6" t="s">
        <v>9</v>
      </c>
      <c r="B8" s="7"/>
    </row>
    <row r="9" customFormat="false" ht="34.5" hidden="false" customHeight="true" outlineLevel="0" collapsed="false">
      <c r="A9" s="5"/>
      <c r="B9" s="4" t="s">
        <v>10</v>
      </c>
    </row>
    <row r="10" customFormat="false" ht="15" hidden="false" customHeight="true" outlineLevel="0" collapsed="false">
      <c r="A10" s="5"/>
      <c r="B10" s="4"/>
    </row>
    <row r="11" customFormat="false" ht="18" hidden="false" customHeight="true" outlineLevel="0" collapsed="false">
      <c r="A11" s="6" t="s">
        <v>11</v>
      </c>
      <c r="B11" s="7"/>
    </row>
    <row r="12" customFormat="false" ht="15" hidden="false" customHeight="true" outlineLevel="0" collapsed="false">
      <c r="A12" s="3" t="s">
        <v>12</v>
      </c>
      <c r="B12" s="4" t="s">
        <v>13</v>
      </c>
    </row>
    <row r="13" customFormat="false" ht="15" hidden="false" customHeight="true" outlineLevel="0" collapsed="false">
      <c r="A13" s="3" t="s">
        <v>14</v>
      </c>
      <c r="B13" s="4" t="s">
        <v>15</v>
      </c>
    </row>
    <row r="14" customFormat="false" ht="15" hidden="false" customHeight="true" outlineLevel="0" collapsed="false">
      <c r="A14" s="3" t="s">
        <v>16</v>
      </c>
      <c r="B14" s="4" t="s">
        <v>17</v>
      </c>
    </row>
    <row r="15" customFormat="false" ht="15" hidden="false" customHeight="true" outlineLevel="0" collapsed="false">
      <c r="A15" s="3" t="s">
        <v>18</v>
      </c>
      <c r="B15" s="4" t="s">
        <v>19</v>
      </c>
    </row>
    <row r="16" customFormat="false" ht="15" hidden="false" customHeight="true" outlineLevel="0" collapsed="false">
      <c r="A16" s="3" t="s">
        <v>20</v>
      </c>
      <c r="B16" s="4" t="s">
        <v>21</v>
      </c>
    </row>
    <row r="17" customFormat="false" ht="15" hidden="false" customHeight="true" outlineLevel="0" collapsed="false">
      <c r="A17" s="5"/>
      <c r="B17" s="4"/>
    </row>
    <row r="18" customFormat="false" ht="18" hidden="false" customHeight="true" outlineLevel="0" collapsed="false">
      <c r="A18" s="6" t="s">
        <v>22</v>
      </c>
      <c r="B18" s="7"/>
    </row>
    <row r="19" customFormat="false" ht="15" hidden="false" customHeight="true" outlineLevel="0" collapsed="false">
      <c r="A19" s="3" t="s">
        <v>23</v>
      </c>
      <c r="B19" s="4" t="s">
        <v>24</v>
      </c>
    </row>
    <row r="20" customFormat="false" ht="15" hidden="false" customHeight="true" outlineLevel="0" collapsed="false">
      <c r="A20" s="3" t="s">
        <v>25</v>
      </c>
      <c r="B20" s="4" t="s">
        <v>26</v>
      </c>
    </row>
    <row r="21" customFormat="false" ht="15.75" hidden="false" customHeight="true" outlineLevel="0" collapsed="false">
      <c r="A21" s="3" t="s">
        <v>27</v>
      </c>
      <c r="B21" s="4" t="s">
        <v>28</v>
      </c>
    </row>
    <row r="22" customFormat="false" ht="15.75" hidden="false" customHeight="true" outlineLevel="0" collapsed="false">
      <c r="A22" s="3" t="s">
        <v>29</v>
      </c>
      <c r="B22" s="4" t="s">
        <v>30</v>
      </c>
    </row>
    <row r="23" customFormat="false" ht="15.75" hidden="false" customHeight="true" outlineLevel="0" collapsed="false">
      <c r="A23" s="3" t="s">
        <v>31</v>
      </c>
      <c r="B23" s="4" t="s">
        <v>32</v>
      </c>
    </row>
    <row r="24" customFormat="false" ht="15.75" hidden="false" customHeight="true" outlineLevel="0" collapsed="false">
      <c r="A24" s="3" t="s">
        <v>33</v>
      </c>
      <c r="B24" s="4" t="s">
        <v>34</v>
      </c>
    </row>
    <row r="25" customFormat="false" ht="15.75" hidden="false" customHeight="true" outlineLevel="0" collapsed="false">
      <c r="A25" s="3" t="s">
        <v>35</v>
      </c>
      <c r="B25" s="4" t="s">
        <v>36</v>
      </c>
    </row>
    <row r="26" customFormat="false" ht="15.75" hidden="false" customHeight="true" outlineLevel="0" collapsed="false">
      <c r="A26" s="3" t="s">
        <v>37</v>
      </c>
      <c r="B26" s="4" t="s">
        <v>38</v>
      </c>
    </row>
    <row r="27" customFormat="false" ht="15.75" hidden="false" customHeight="true" outlineLevel="0" collapsed="false">
      <c r="A27" s="3" t="s">
        <v>39</v>
      </c>
      <c r="B27" s="4" t="s">
        <v>40</v>
      </c>
    </row>
    <row r="28" customFormat="false" ht="15.75" hidden="false" customHeight="true" outlineLevel="0" collapsed="false">
      <c r="A28" s="5"/>
      <c r="B28" s="4"/>
    </row>
    <row r="29" customFormat="false" ht="18" hidden="false" customHeight="true" outlineLevel="0" collapsed="false">
      <c r="A29" s="6" t="s">
        <v>41</v>
      </c>
      <c r="B29" s="7"/>
    </row>
    <row r="30" customFormat="false" ht="15.75" hidden="false" customHeight="true" outlineLevel="0" collapsed="false">
      <c r="A30" s="3" t="s">
        <v>42</v>
      </c>
      <c r="B30" s="4" t="s">
        <v>43</v>
      </c>
    </row>
    <row r="31" customFormat="false" ht="15.75" hidden="false" customHeight="true" outlineLevel="0" collapsed="false">
      <c r="A31" s="3" t="s">
        <v>44</v>
      </c>
      <c r="B31" s="4" t="s">
        <v>45</v>
      </c>
    </row>
    <row r="32" customFormat="false" ht="15.75" hidden="false" customHeight="true" outlineLevel="0" collapsed="false">
      <c r="A32" s="3" t="s">
        <v>46</v>
      </c>
      <c r="B32" s="4" t="s">
        <v>47</v>
      </c>
    </row>
    <row r="33" customFormat="false" ht="15.75" hidden="false" customHeight="true" outlineLevel="0" collapsed="false">
      <c r="A33" s="3" t="s">
        <v>48</v>
      </c>
      <c r="B33" s="4" t="s">
        <v>49</v>
      </c>
    </row>
    <row r="34" customFormat="false" ht="15.75" hidden="false" customHeight="true" outlineLevel="0" collapsed="false">
      <c r="A34" s="3" t="s">
        <v>50</v>
      </c>
      <c r="B34" s="4" t="s">
        <v>51</v>
      </c>
    </row>
    <row r="35" customFormat="false" ht="15.75" hidden="false" customHeight="true" outlineLevel="0" collapsed="false">
      <c r="A35" s="3" t="s">
        <v>52</v>
      </c>
      <c r="B35" s="4" t="s">
        <v>53</v>
      </c>
    </row>
    <row r="36" customFormat="false" ht="15.75" hidden="false" customHeight="true" outlineLevel="0" collapsed="false">
      <c r="A36" s="5"/>
      <c r="B36" s="4"/>
    </row>
    <row r="37" customFormat="false" ht="18" hidden="false" customHeight="true" outlineLevel="0" collapsed="false">
      <c r="A37" s="6" t="s">
        <v>54</v>
      </c>
      <c r="B37" s="7"/>
    </row>
    <row r="38" customFormat="false" ht="15.75" hidden="false" customHeight="true" outlineLevel="0" collapsed="false">
      <c r="A38" s="3" t="s">
        <v>55</v>
      </c>
      <c r="B38" s="4" t="s">
        <v>56</v>
      </c>
    </row>
    <row r="39" customFormat="false" ht="15.75" hidden="false" customHeight="true" outlineLevel="0" collapsed="false">
      <c r="A39" s="3" t="s">
        <v>57</v>
      </c>
      <c r="B39" s="4" t="s">
        <v>58</v>
      </c>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customHeight="true" zeroHeight="false" outlineLevelRow="0" outlineLevelCol="0"/>
  <cols>
    <col collapsed="false" customWidth="true" hidden="false" outlineLevel="0" max="1" min="1" style="1" width="65.15"/>
    <col collapsed="false" customWidth="true" hidden="false" outlineLevel="0" max="2" min="2" style="1" width="17.43"/>
    <col collapsed="false" customWidth="true" hidden="false" outlineLevel="0" max="3" min="3" style="1" width="18.14"/>
    <col collapsed="false" customWidth="true" hidden="false" outlineLevel="0" max="7" min="4" style="1" width="16"/>
    <col collapsed="false" customWidth="true" hidden="false" outlineLevel="0" max="8" min="8" style="1" width="24"/>
    <col collapsed="false" customWidth="true" hidden="false" outlineLevel="0" max="26" min="9" style="1" width="8.71"/>
  </cols>
  <sheetData>
    <row r="1" customFormat="false" ht="21.75" hidden="false" customHeight="true" outlineLevel="0" collapsed="false">
      <c r="A1" s="2" t="s">
        <v>59</v>
      </c>
    </row>
    <row r="3" customFormat="false" ht="18" hidden="false" customHeight="true" outlineLevel="0" collapsed="false">
      <c r="A3" s="6" t="s">
        <v>60</v>
      </c>
      <c r="B3" s="7"/>
      <c r="C3" s="7"/>
      <c r="D3" s="7"/>
      <c r="E3" s="7"/>
      <c r="F3" s="7"/>
      <c r="G3" s="7"/>
      <c r="H3" s="7"/>
    </row>
    <row r="4" customFormat="false" ht="15" hidden="false" customHeight="true" outlineLevel="0" collapsed="false">
      <c r="A4" s="8" t="s">
        <v>61</v>
      </c>
      <c r="B4" s="8" t="s">
        <v>62</v>
      </c>
      <c r="C4" s="8"/>
      <c r="D4" s="8"/>
      <c r="E4" s="8"/>
      <c r="F4" s="8"/>
      <c r="G4" s="8"/>
      <c r="H4" s="8" t="s">
        <v>63</v>
      </c>
    </row>
    <row r="5" customFormat="false" ht="21.75" hidden="false" customHeight="true" outlineLevel="0" collapsed="false">
      <c r="A5" s="9" t="s">
        <v>64</v>
      </c>
      <c r="B5" s="10" t="n">
        <v>0.02</v>
      </c>
      <c r="H5" s="11" t="s">
        <v>65</v>
      </c>
    </row>
    <row r="6" customFormat="false" ht="21.75" hidden="false" customHeight="true" outlineLevel="0" collapsed="false">
      <c r="A6" s="9" t="s">
        <v>66</v>
      </c>
      <c r="B6" s="12" t="n">
        <v>30</v>
      </c>
      <c r="H6" s="11" t="s">
        <v>67</v>
      </c>
    </row>
    <row r="7" customFormat="false" ht="21.75" hidden="false" customHeight="true" outlineLevel="0" collapsed="false">
      <c r="A7" s="9" t="s">
        <v>68</v>
      </c>
      <c r="B7" s="10" t="n">
        <v>0.15</v>
      </c>
      <c r="H7" s="11" t="s">
        <v>69</v>
      </c>
    </row>
    <row r="8" customFormat="false" ht="15" hidden="false" customHeight="true" outlineLevel="0" collapsed="false">
      <c r="A8" s="9" t="s">
        <v>70</v>
      </c>
      <c r="B8" s="13" t="n">
        <v>0.05</v>
      </c>
      <c r="H8" s="11"/>
    </row>
    <row r="9" customFormat="false" ht="21.75" hidden="false" customHeight="true" outlineLevel="0" collapsed="false">
      <c r="A9" s="9" t="s">
        <v>71</v>
      </c>
      <c r="B9" s="14" t="n">
        <v>0.02</v>
      </c>
      <c r="H9" s="11" t="s">
        <v>72</v>
      </c>
    </row>
    <row r="10" customFormat="false" ht="21.75" hidden="false" customHeight="true" outlineLevel="0" collapsed="false">
      <c r="A10" s="9" t="s">
        <v>73</v>
      </c>
      <c r="B10" s="14" t="n">
        <v>0.08</v>
      </c>
      <c r="H10" s="11" t="s">
        <v>72</v>
      </c>
    </row>
    <row r="11" customFormat="false" ht="15" hidden="false" customHeight="true" outlineLevel="0" collapsed="false">
      <c r="A11" s="9" t="s">
        <v>74</v>
      </c>
      <c r="B11" s="10" t="n">
        <v>0.005</v>
      </c>
      <c r="H11" s="11"/>
    </row>
    <row r="12" customFormat="false" ht="15" hidden="false" customHeight="true" outlineLevel="0" collapsed="false">
      <c r="A12" s="9" t="s">
        <v>75</v>
      </c>
      <c r="B12" s="10" t="n">
        <v>0.002</v>
      </c>
      <c r="H12" s="11"/>
    </row>
    <row r="13" customFormat="false" ht="21.75" hidden="false" customHeight="true" outlineLevel="0" collapsed="false">
      <c r="A13" s="9" t="s">
        <v>76</v>
      </c>
      <c r="B13" s="15" t="n">
        <v>3</v>
      </c>
      <c r="H13" s="11" t="s">
        <v>77</v>
      </c>
    </row>
    <row r="14" customFormat="false" ht="32.25" hidden="false" customHeight="true" outlineLevel="0" collapsed="false">
      <c r="A14" s="9" t="s">
        <v>78</v>
      </c>
      <c r="B14" s="14" t="n">
        <v>0.1</v>
      </c>
      <c r="H14" s="11" t="s">
        <v>79</v>
      </c>
    </row>
    <row r="16" customFormat="false" ht="18" hidden="false" customHeight="true" outlineLevel="0" collapsed="false">
      <c r="A16" s="6" t="s">
        <v>80</v>
      </c>
      <c r="B16" s="7"/>
      <c r="C16" s="7"/>
      <c r="D16" s="7"/>
      <c r="E16" s="7"/>
      <c r="F16" s="7"/>
      <c r="G16" s="7"/>
      <c r="H16" s="7"/>
    </row>
    <row r="17" customFormat="false" ht="15" hidden="false" customHeight="true" outlineLevel="0" collapsed="false">
      <c r="A17" s="8" t="s">
        <v>81</v>
      </c>
      <c r="B17" s="8" t="s">
        <v>82</v>
      </c>
      <c r="C17" s="8" t="s">
        <v>83</v>
      </c>
      <c r="D17" s="8" t="s">
        <v>84</v>
      </c>
      <c r="E17" s="8" t="s">
        <v>85</v>
      </c>
      <c r="F17" s="8"/>
      <c r="G17" s="8"/>
      <c r="H17" s="8" t="s">
        <v>63</v>
      </c>
    </row>
    <row r="18" customFormat="false" ht="15" hidden="false" customHeight="true" outlineLevel="0" collapsed="false">
      <c r="A18" s="9" t="s">
        <v>86</v>
      </c>
      <c r="B18" s="15" t="n">
        <v>2</v>
      </c>
      <c r="C18" s="13" t="n">
        <v>22</v>
      </c>
      <c r="D18" s="15" t="n">
        <v>8</v>
      </c>
      <c r="E18" s="16" t="s">
        <v>87</v>
      </c>
    </row>
    <row r="19" customFormat="false" ht="15" hidden="false" customHeight="true" outlineLevel="0" collapsed="false">
      <c r="A19" s="9" t="s">
        <v>88</v>
      </c>
      <c r="B19" s="15" t="n">
        <v>1</v>
      </c>
      <c r="C19" s="13" t="n">
        <v>28</v>
      </c>
      <c r="D19" s="15" t="n">
        <v>4</v>
      </c>
      <c r="E19" s="16" t="s">
        <v>87</v>
      </c>
    </row>
    <row r="20" customFormat="false" ht="15" hidden="false" customHeight="true" outlineLevel="0" collapsed="false">
      <c r="A20" s="9" t="s">
        <v>89</v>
      </c>
      <c r="B20" s="15" t="n">
        <v>1</v>
      </c>
      <c r="C20" s="13" t="n">
        <v>18</v>
      </c>
      <c r="D20" s="15" t="n">
        <v>6</v>
      </c>
      <c r="E20" s="16" t="s">
        <v>87</v>
      </c>
    </row>
    <row r="21" customFormat="false" ht="15.75" hidden="false" customHeight="true" outlineLevel="0" collapsed="false">
      <c r="A21" s="9" t="s">
        <v>90</v>
      </c>
      <c r="B21" s="15" t="n">
        <v>1</v>
      </c>
      <c r="C21" s="13" t="n">
        <v>45</v>
      </c>
      <c r="D21" s="15" t="n">
        <v>8</v>
      </c>
      <c r="E21" s="16" t="s">
        <v>91</v>
      </c>
    </row>
    <row r="22" customFormat="false" ht="15.75" hidden="false" customHeight="true" outlineLevel="0" collapsed="false">
      <c r="A22" s="17" t="s">
        <v>92</v>
      </c>
      <c r="B22" s="18" t="n">
        <f aca="false">SUMPRODUCT(B18:B21,C18:C21,D18:D21)</f>
        <v>932</v>
      </c>
      <c r="H22" s="11" t="s">
        <v>93</v>
      </c>
    </row>
    <row r="23" customFormat="false" ht="15.75" hidden="false" customHeight="true" outlineLevel="0" collapsed="false"/>
    <row r="24" customFormat="false" ht="15.75" hidden="false" customHeight="true" outlineLevel="0" collapsed="false">
      <c r="A24" s="9" t="s">
        <v>94</v>
      </c>
      <c r="B24" s="13" t="n">
        <v>0.3</v>
      </c>
      <c r="H24" s="11" t="s">
        <v>95</v>
      </c>
    </row>
    <row r="25" customFormat="false" ht="15.75" hidden="false" customHeight="true" outlineLevel="0" collapsed="false">
      <c r="A25" s="9" t="s">
        <v>96</v>
      </c>
      <c r="B25" s="19" t="n">
        <v>5000</v>
      </c>
      <c r="H25" s="11"/>
    </row>
    <row r="26" customFormat="false" ht="15.75" hidden="false" customHeight="true" outlineLevel="0" collapsed="false">
      <c r="A26" s="9" t="s">
        <v>97</v>
      </c>
      <c r="B26" s="19" t="n">
        <v>2000</v>
      </c>
      <c r="H26" s="11"/>
    </row>
    <row r="27" customFormat="false" ht="15.75" hidden="false" customHeight="true" outlineLevel="0" collapsed="false">
      <c r="A27" s="9" t="s">
        <v>98</v>
      </c>
      <c r="B27" s="19" t="n">
        <v>6000</v>
      </c>
      <c r="H27" s="11"/>
    </row>
    <row r="28" customFormat="false" ht="15.75" hidden="false" customHeight="true" outlineLevel="0" collapsed="false"/>
    <row r="29" customFormat="false" ht="18" hidden="false" customHeight="true" outlineLevel="0" collapsed="false">
      <c r="A29" s="6" t="s">
        <v>99</v>
      </c>
      <c r="B29" s="7"/>
      <c r="C29" s="7"/>
      <c r="D29" s="7"/>
      <c r="E29" s="7"/>
      <c r="F29" s="7"/>
      <c r="G29" s="7"/>
      <c r="H29" s="7"/>
    </row>
    <row r="30" customFormat="false" ht="15.75" hidden="false" customHeight="true" outlineLevel="0" collapsed="false">
      <c r="A30" s="20" t="s">
        <v>100</v>
      </c>
      <c r="B30" s="21" t="n">
        <v>3.5</v>
      </c>
    </row>
    <row r="31" customFormat="false" ht="15.75" hidden="false" customHeight="true" outlineLevel="0" collapsed="false">
      <c r="A31" s="20" t="s">
        <v>101</v>
      </c>
      <c r="B31" s="21" t="n">
        <v>1.75</v>
      </c>
    </row>
    <row r="32" customFormat="false" ht="15.75" hidden="false" customHeight="true" outlineLevel="0" collapsed="false">
      <c r="A32" s="20" t="s">
        <v>102</v>
      </c>
      <c r="B32" s="21" t="n">
        <v>2.25</v>
      </c>
    </row>
    <row r="33" customFormat="false" ht="15.75" hidden="false" customHeight="true" outlineLevel="0" collapsed="false">
      <c r="A33" s="20" t="s">
        <v>103</v>
      </c>
      <c r="B33" s="21" t="n">
        <v>1.13</v>
      </c>
    </row>
    <row r="34" customFormat="false" ht="15.75" hidden="false" customHeight="true" outlineLevel="0" collapsed="false">
      <c r="A34" s="20" t="s">
        <v>104</v>
      </c>
      <c r="B34" s="21" t="n">
        <v>2.5</v>
      </c>
    </row>
    <row r="35" customFormat="false" ht="15.75" hidden="false" customHeight="true" outlineLevel="0" collapsed="false">
      <c r="A35" s="20" t="s">
        <v>105</v>
      </c>
      <c r="B35" s="21" t="n">
        <v>1</v>
      </c>
    </row>
    <row r="36" customFormat="false" ht="15.75" hidden="false" customHeight="true" outlineLevel="0" collapsed="false">
      <c r="A36" s="20" t="s">
        <v>106</v>
      </c>
      <c r="B36" s="22" t="n">
        <v>0.1</v>
      </c>
    </row>
    <row r="37" customFormat="false" ht="15.75" hidden="false" customHeight="true" outlineLevel="0" collapsed="false">
      <c r="A37" s="20" t="s">
        <v>107</v>
      </c>
      <c r="B37" s="23" t="n">
        <v>150000</v>
      </c>
    </row>
    <row r="38" customFormat="false" ht="15.75" hidden="false" customHeight="true" outlineLevel="0" collapsed="false"/>
    <row r="39" customFormat="false" ht="18" hidden="false" customHeight="true" outlineLevel="0" collapsed="false">
      <c r="A39" s="6" t="s">
        <v>108</v>
      </c>
      <c r="B39" s="7"/>
      <c r="C39" s="7"/>
      <c r="D39" s="7"/>
      <c r="E39" s="7"/>
      <c r="F39" s="7"/>
      <c r="G39" s="7"/>
      <c r="H39" s="7"/>
    </row>
    <row r="40" customFormat="false" ht="15.75" hidden="false" customHeight="true" outlineLevel="0" collapsed="false">
      <c r="A40" s="8" t="s">
        <v>109</v>
      </c>
      <c r="B40" s="8" t="s">
        <v>110</v>
      </c>
      <c r="C40" s="8" t="s">
        <v>111</v>
      </c>
      <c r="D40" s="8" t="s">
        <v>112</v>
      </c>
      <c r="E40" s="8" t="s">
        <v>113</v>
      </c>
      <c r="F40" s="8" t="s">
        <v>114</v>
      </c>
      <c r="G40" s="8" t="s">
        <v>115</v>
      </c>
      <c r="H40" s="8" t="s">
        <v>116</v>
      </c>
    </row>
    <row r="41" customFormat="false" ht="15.75" hidden="false" customHeight="true" outlineLevel="0" collapsed="false">
      <c r="A41" s="9" t="s">
        <v>117</v>
      </c>
      <c r="B41" s="16" t="s">
        <v>87</v>
      </c>
      <c r="C41" s="10" t="n">
        <v>0.4</v>
      </c>
      <c r="D41" s="13" t="n">
        <v>3.5</v>
      </c>
      <c r="E41" s="13" t="n">
        <v>2.25</v>
      </c>
      <c r="F41" s="13" t="n">
        <v>0.85</v>
      </c>
      <c r="G41" s="15" t="n">
        <v>0</v>
      </c>
      <c r="H41" s="15" t="n">
        <v>30000</v>
      </c>
    </row>
    <row r="42" customFormat="false" ht="15.75" hidden="false" customHeight="true" outlineLevel="0" collapsed="false">
      <c r="A42" s="9" t="s">
        <v>118</v>
      </c>
      <c r="B42" s="16" t="s">
        <v>87</v>
      </c>
      <c r="C42" s="10" t="n">
        <v>0.2</v>
      </c>
      <c r="D42" s="13" t="n">
        <v>2.8</v>
      </c>
      <c r="E42" s="13" t="n">
        <v>1.8</v>
      </c>
      <c r="F42" s="13" t="n">
        <v>0.55</v>
      </c>
      <c r="G42" s="15" t="n">
        <v>2</v>
      </c>
      <c r="H42" s="15" t="n">
        <v>18000</v>
      </c>
    </row>
    <row r="43" customFormat="false" ht="15.75" hidden="false" customHeight="true" outlineLevel="0" collapsed="false">
      <c r="A43" s="9" t="s">
        <v>119</v>
      </c>
      <c r="B43" s="16" t="s">
        <v>91</v>
      </c>
      <c r="C43" s="10" t="n">
        <v>0</v>
      </c>
      <c r="D43" s="13" t="n">
        <v>1.75</v>
      </c>
      <c r="E43" s="13" t="n">
        <v>1.13</v>
      </c>
      <c r="F43" s="13" t="n">
        <v>0.45</v>
      </c>
      <c r="G43" s="15" t="n">
        <v>24</v>
      </c>
      <c r="H43" s="15" t="n">
        <v>40000</v>
      </c>
    </row>
    <row r="44" customFormat="false" ht="15.75" hidden="false" customHeight="true" outlineLevel="0" collapsed="false">
      <c r="A44" s="9" t="s">
        <v>120</v>
      </c>
      <c r="B44" s="16" t="s">
        <v>87</v>
      </c>
      <c r="C44" s="10" t="n">
        <v>0.15</v>
      </c>
      <c r="D44" s="13" t="n">
        <v>2.1</v>
      </c>
      <c r="E44" s="13" t="n">
        <v>1.35</v>
      </c>
      <c r="F44" s="13" t="n">
        <v>0.42</v>
      </c>
      <c r="G44" s="15" t="n">
        <v>4</v>
      </c>
      <c r="H44" s="15" t="n">
        <v>9000</v>
      </c>
    </row>
    <row r="45" customFormat="false" ht="15.75" hidden="false" customHeight="true" outlineLevel="0" collapsed="false">
      <c r="A45" s="9" t="s">
        <v>121</v>
      </c>
      <c r="B45" s="16" t="s">
        <v>87</v>
      </c>
      <c r="C45" s="10" t="n">
        <v>0.08</v>
      </c>
      <c r="D45" s="13" t="n">
        <v>1.95</v>
      </c>
      <c r="E45" s="13" t="n">
        <v>1.25</v>
      </c>
      <c r="F45" s="13" t="n">
        <v>0.3</v>
      </c>
      <c r="G45" s="15" t="n">
        <v>3</v>
      </c>
      <c r="H45" s="15" t="n">
        <v>4500</v>
      </c>
    </row>
    <row r="46" customFormat="false" ht="15.75" hidden="false" customHeight="true" outlineLevel="0" collapsed="false">
      <c r="A46" s="9" t="s">
        <v>122</v>
      </c>
      <c r="B46" s="16" t="s">
        <v>87</v>
      </c>
      <c r="C46" s="10" t="n">
        <v>0.17</v>
      </c>
      <c r="D46" s="13" t="n">
        <v>1.5</v>
      </c>
      <c r="E46" s="13" t="n">
        <v>0.95</v>
      </c>
      <c r="F46" s="13" t="n">
        <v>0.45</v>
      </c>
      <c r="G46" s="15" t="n">
        <v>4</v>
      </c>
      <c r="H46" s="15" t="n">
        <v>14000</v>
      </c>
    </row>
    <row r="47" customFormat="false" ht="15.75" hidden="false" customHeight="true" outlineLevel="0" collapsed="false">
      <c r="A47" s="17" t="s">
        <v>123</v>
      </c>
      <c r="C47" s="24" t="n">
        <f aca="false">SUMIF(B41:B46,"Yes",C41:C46)</f>
        <v>1</v>
      </c>
      <c r="H47" s="11" t="s">
        <v>124</v>
      </c>
    </row>
    <row r="48" customFormat="false" ht="15.75" hidden="false" customHeight="true" outlineLevel="0" collapsed="false"/>
    <row r="49" customFormat="false" ht="18" hidden="false" customHeight="true" outlineLevel="0" collapsed="false">
      <c r="A49" s="6" t="s">
        <v>125</v>
      </c>
      <c r="B49" s="7"/>
      <c r="C49" s="7"/>
      <c r="D49" s="7"/>
      <c r="E49" s="7"/>
      <c r="F49" s="7"/>
      <c r="G49" s="7"/>
      <c r="H49" s="7"/>
    </row>
    <row r="50" customFormat="false" ht="15.75" hidden="false" customHeight="true" outlineLevel="0" collapsed="false">
      <c r="A50" s="8" t="s">
        <v>126</v>
      </c>
      <c r="B50" s="8" t="s">
        <v>127</v>
      </c>
      <c r="C50" s="8" t="s">
        <v>128</v>
      </c>
      <c r="D50" s="8" t="s">
        <v>129</v>
      </c>
      <c r="E50" s="8" t="s">
        <v>130</v>
      </c>
      <c r="F50" s="8" t="s">
        <v>131</v>
      </c>
      <c r="G50" s="8" t="s">
        <v>132</v>
      </c>
      <c r="H50" s="8"/>
    </row>
    <row r="51" customFormat="false" ht="15.75" hidden="false" customHeight="true" outlineLevel="0" collapsed="false">
      <c r="A51" s="15" t="n">
        <v>1</v>
      </c>
      <c r="B51" s="16" t="s">
        <v>133</v>
      </c>
      <c r="C51" s="15" t="n">
        <v>0</v>
      </c>
      <c r="D51" s="15" t="n">
        <v>500</v>
      </c>
      <c r="E51" s="13" t="n">
        <v>1.35</v>
      </c>
      <c r="F51" s="13" t="n">
        <v>0.45</v>
      </c>
      <c r="G51" s="25" t="n">
        <v>1</v>
      </c>
    </row>
    <row r="52" customFormat="false" ht="15.75" hidden="false" customHeight="true" outlineLevel="0" collapsed="false">
      <c r="A52" s="15" t="n">
        <v>2</v>
      </c>
      <c r="B52" s="16" t="s">
        <v>134</v>
      </c>
      <c r="C52" s="15" t="n">
        <v>1000</v>
      </c>
      <c r="D52" s="15" t="n">
        <v>5000</v>
      </c>
      <c r="E52" s="13" t="n">
        <v>1.2</v>
      </c>
      <c r="F52" s="13" t="n">
        <v>0.4</v>
      </c>
      <c r="G52" s="25" t="n">
        <v>0.75</v>
      </c>
    </row>
    <row r="53" customFormat="false" ht="15.75" hidden="false" customHeight="true" outlineLevel="0" collapsed="false">
      <c r="A53" s="15" t="n">
        <v>3</v>
      </c>
      <c r="B53" s="16" t="s">
        <v>135</v>
      </c>
      <c r="C53" s="15" t="n">
        <v>10000</v>
      </c>
      <c r="D53" s="15" t="n">
        <v>50000</v>
      </c>
      <c r="E53" s="13" t="n">
        <v>1.1</v>
      </c>
      <c r="F53" s="13" t="n">
        <v>0.35</v>
      </c>
      <c r="G53" s="25" t="n">
        <v>0.5</v>
      </c>
    </row>
    <row r="54" customFormat="false" ht="15.75" hidden="false" customHeight="true" outlineLevel="0" collapsed="false">
      <c r="A54" s="15" t="n">
        <v>4</v>
      </c>
      <c r="B54" s="16" t="s">
        <v>136</v>
      </c>
      <c r="C54" s="15" t="n">
        <v>100000</v>
      </c>
      <c r="D54" s="15" t="n">
        <v>250000</v>
      </c>
      <c r="E54" s="13" t="n">
        <v>1</v>
      </c>
      <c r="F54" s="13" t="n">
        <v>0.3</v>
      </c>
      <c r="G54" s="25" t="n">
        <v>0.35</v>
      </c>
    </row>
    <row r="55" customFormat="false" ht="15.75" hidden="false" customHeight="true" outlineLevel="0" collapsed="false">
      <c r="A55" s="15" t="n">
        <v>5</v>
      </c>
      <c r="B55" s="16" t="s">
        <v>137</v>
      </c>
      <c r="C55" s="15" t="n">
        <v>500000</v>
      </c>
      <c r="D55" s="15" t="n">
        <v>750000</v>
      </c>
      <c r="E55" s="13" t="n">
        <v>0.92</v>
      </c>
      <c r="F55" s="13" t="n">
        <v>0.27</v>
      </c>
      <c r="G55" s="25" t="n">
        <v>0.25</v>
      </c>
    </row>
    <row r="56" customFormat="false" ht="15.75" hidden="false" customHeight="true" outlineLevel="0" collapsed="false">
      <c r="A56" s="15" t="n">
        <v>6</v>
      </c>
      <c r="B56" s="16" t="s">
        <v>138</v>
      </c>
      <c r="C56" s="15" t="n">
        <v>1000000</v>
      </c>
      <c r="D56" s="15" t="n">
        <v>2500000</v>
      </c>
      <c r="E56" s="13" t="n">
        <v>0.85</v>
      </c>
      <c r="F56" s="13" t="n">
        <v>0.25</v>
      </c>
      <c r="G56" s="25" t="n">
        <v>0.18</v>
      </c>
    </row>
    <row r="57" customFormat="false" ht="15.75" hidden="false" customHeight="true" outlineLevel="0" collapsed="false">
      <c r="A57" s="15" t="n">
        <v>7</v>
      </c>
      <c r="B57" s="16" t="s">
        <v>139</v>
      </c>
      <c r="C57" s="15" t="n">
        <v>5000000</v>
      </c>
      <c r="D57" s="15" t="n">
        <v>7500000</v>
      </c>
      <c r="E57" s="13" t="n">
        <v>0.8</v>
      </c>
      <c r="F57" s="13" t="n">
        <v>0.22</v>
      </c>
      <c r="G57" s="25" t="n">
        <v>0.12</v>
      </c>
    </row>
    <row r="58" customFormat="false" ht="15.75" hidden="false" customHeight="true" outlineLevel="0" collapsed="false"/>
    <row r="59" customFormat="false" ht="18" hidden="false" customHeight="true" outlineLevel="0" collapsed="false">
      <c r="A59" s="6" t="s">
        <v>140</v>
      </c>
      <c r="B59" s="7"/>
      <c r="C59" s="7"/>
      <c r="D59" s="7"/>
      <c r="E59" s="7"/>
      <c r="F59" s="7"/>
      <c r="G59" s="7"/>
      <c r="H59" s="7"/>
    </row>
    <row r="60" customFormat="false" ht="15.75" hidden="false" customHeight="true" outlineLevel="0" collapsed="false">
      <c r="A60" s="8" t="s">
        <v>141</v>
      </c>
      <c r="B60" s="8" t="s">
        <v>142</v>
      </c>
      <c r="C60" s="8" t="s">
        <v>143</v>
      </c>
      <c r="D60" s="8" t="s">
        <v>144</v>
      </c>
      <c r="E60" s="8" t="s">
        <v>145</v>
      </c>
      <c r="F60" s="8" t="s">
        <v>146</v>
      </c>
      <c r="G60" s="8"/>
      <c r="H60" s="8" t="s">
        <v>63</v>
      </c>
    </row>
    <row r="61" customFormat="false" ht="15.75" hidden="false" customHeight="true" outlineLevel="0" collapsed="false">
      <c r="A61" s="9" t="s">
        <v>147</v>
      </c>
      <c r="B61" s="10" t="n">
        <v>0</v>
      </c>
      <c r="C61" s="10" t="n">
        <v>1.5</v>
      </c>
      <c r="D61" s="10" t="n">
        <v>1</v>
      </c>
      <c r="E61" s="10" t="n">
        <v>0.67</v>
      </c>
      <c r="F61" s="10" t="n">
        <v>0.6</v>
      </c>
      <c r="H61" s="11" t="s">
        <v>148</v>
      </c>
    </row>
    <row r="62" customFormat="false" ht="15.75" hidden="false" customHeight="true" outlineLevel="0" collapsed="false">
      <c r="A62" s="9" t="s">
        <v>149</v>
      </c>
      <c r="B62" s="19" t="n">
        <v>150000</v>
      </c>
      <c r="C62" s="19" t="n">
        <v>250000</v>
      </c>
      <c r="D62" s="19" t="n">
        <v>400000</v>
      </c>
      <c r="E62" s="19" t="n">
        <v>600000</v>
      </c>
      <c r="F62" s="19" t="n">
        <v>800000</v>
      </c>
    </row>
    <row r="63" customFormat="false" ht="15.75" hidden="false" customHeight="true" outlineLevel="0" collapsed="false">
      <c r="A63" s="9" t="s">
        <v>150</v>
      </c>
      <c r="B63" s="19" t="n">
        <v>200000</v>
      </c>
      <c r="C63" s="19" t="n">
        <v>400000</v>
      </c>
      <c r="D63" s="19" t="n">
        <v>750000</v>
      </c>
      <c r="E63" s="19" t="n">
        <v>1250000</v>
      </c>
      <c r="F63" s="19" t="n">
        <v>1800000</v>
      </c>
    </row>
    <row r="64" customFormat="false" ht="15.75" hidden="false" customHeight="true" outlineLevel="0" collapsed="false">
      <c r="A64" s="9" t="s">
        <v>151</v>
      </c>
      <c r="B64" s="19" t="n">
        <v>0</v>
      </c>
      <c r="C64" s="19" t="n">
        <v>150000</v>
      </c>
      <c r="D64" s="19" t="n">
        <v>400000</v>
      </c>
      <c r="E64" s="19" t="n">
        <v>800000</v>
      </c>
      <c r="F64" s="19" t="n">
        <v>1500000</v>
      </c>
    </row>
    <row r="65" customFormat="false" ht="15.75" hidden="false" customHeight="true" outlineLevel="0" collapsed="false">
      <c r="A65" s="9" t="s">
        <v>152</v>
      </c>
      <c r="B65" s="19" t="n">
        <v>100000</v>
      </c>
      <c r="C65" s="19" t="n">
        <v>200000</v>
      </c>
      <c r="D65" s="19" t="n">
        <v>100000</v>
      </c>
      <c r="E65" s="19" t="n">
        <v>50000</v>
      </c>
      <c r="F65" s="19" t="n">
        <v>50000</v>
      </c>
    </row>
    <row r="66" customFormat="false" ht="15.75" hidden="false" customHeight="true" outlineLevel="0" collapsed="false">
      <c r="A66" s="9" t="s">
        <v>153</v>
      </c>
      <c r="B66" s="25" t="n">
        <v>1</v>
      </c>
      <c r="C66" s="25" t="n">
        <v>1.5</v>
      </c>
      <c r="D66" s="25" t="n">
        <v>2</v>
      </c>
      <c r="E66" s="25" t="n">
        <v>2.5</v>
      </c>
      <c r="F66" s="25" t="n">
        <v>3</v>
      </c>
    </row>
    <row r="67" customFormat="false" ht="15.75" hidden="false" customHeight="true" outlineLevel="0" collapsed="false">
      <c r="A67" s="9" t="s">
        <v>154</v>
      </c>
      <c r="B67" s="19" t="n">
        <v>0</v>
      </c>
      <c r="C67" s="19" t="n">
        <v>500000</v>
      </c>
      <c r="D67" s="19" t="n">
        <v>3000000</v>
      </c>
      <c r="E67" s="19" t="n">
        <v>8000000</v>
      </c>
      <c r="F67" s="19" t="n">
        <v>18000000</v>
      </c>
    </row>
    <row r="68" customFormat="false" ht="15.75" hidden="false" customHeight="true" outlineLevel="0" collapsed="false">
      <c r="A68" s="9" t="s">
        <v>155</v>
      </c>
      <c r="B68" s="10" t="n">
        <v>0.25</v>
      </c>
      <c r="H68" s="11" t="s">
        <v>156</v>
      </c>
    </row>
    <row r="69" customFormat="false" ht="15.75" hidden="false" customHeight="true" outlineLevel="0" collapsed="false">
      <c r="A69" s="9" t="s">
        <v>157</v>
      </c>
      <c r="B69" s="19" t="n">
        <v>200000</v>
      </c>
    </row>
    <row r="70" customFormat="false" ht="15.75" hidden="false" customHeight="true" outlineLevel="0" collapsed="false">
      <c r="A70" s="9" t="s">
        <v>158</v>
      </c>
      <c r="B70" s="15" t="n">
        <v>1</v>
      </c>
    </row>
    <row r="71" customFormat="false" ht="15.75" hidden="false" customHeight="true" outlineLevel="0" collapsed="false"/>
    <row r="72" customFormat="false" ht="18" hidden="false" customHeight="true" outlineLevel="0" collapsed="false">
      <c r="A72" s="6" t="s">
        <v>159</v>
      </c>
      <c r="B72" s="7"/>
      <c r="C72" s="7"/>
      <c r="D72" s="7"/>
      <c r="E72" s="7"/>
      <c r="F72" s="7"/>
      <c r="G72" s="7"/>
      <c r="H72" s="7"/>
    </row>
    <row r="73" customFormat="false" ht="15.75" hidden="false" customHeight="true" outlineLevel="0" collapsed="false">
      <c r="A73" s="8" t="s">
        <v>160</v>
      </c>
      <c r="B73" s="8" t="s">
        <v>161</v>
      </c>
      <c r="C73" s="8" t="s">
        <v>162</v>
      </c>
      <c r="D73" s="8" t="s">
        <v>163</v>
      </c>
      <c r="E73" s="8" t="s">
        <v>164</v>
      </c>
      <c r="F73" s="8" t="s">
        <v>165</v>
      </c>
      <c r="G73" s="8"/>
      <c r="H73" s="8" t="s">
        <v>63</v>
      </c>
    </row>
    <row r="74" customFormat="false" ht="15.75" hidden="false" customHeight="true" outlineLevel="0" collapsed="false">
      <c r="A74" s="9" t="s">
        <v>166</v>
      </c>
      <c r="B74" s="26" t="n">
        <v>0.001</v>
      </c>
      <c r="C74" s="27" t="n">
        <v>4</v>
      </c>
      <c r="D74" s="27" t="n">
        <v>3.5</v>
      </c>
      <c r="E74" s="27" t="n">
        <v>3</v>
      </c>
      <c r="F74" s="15" t="n">
        <v>25</v>
      </c>
    </row>
    <row r="75" customFormat="false" ht="15.75" hidden="false" customHeight="true" outlineLevel="0" collapsed="false">
      <c r="A75" s="9" t="s">
        <v>167</v>
      </c>
      <c r="B75" s="26" t="n">
        <v>0.0011</v>
      </c>
      <c r="C75" s="27" t="n">
        <v>5</v>
      </c>
      <c r="D75" s="27" t="n">
        <v>4.33</v>
      </c>
      <c r="E75" s="27" t="n">
        <v>3.75</v>
      </c>
      <c r="F75" s="15" t="n">
        <v>25</v>
      </c>
    </row>
    <row r="76" customFormat="false" ht="15.75" hidden="false" customHeight="true" outlineLevel="0" collapsed="false">
      <c r="A76" s="9" t="s">
        <v>168</v>
      </c>
      <c r="B76" s="26" t="n">
        <v>1</v>
      </c>
      <c r="C76" s="27" t="n">
        <v>0.08</v>
      </c>
      <c r="D76" s="27" t="n">
        <v>0.061</v>
      </c>
      <c r="E76" s="27" t="n">
        <v>0.05</v>
      </c>
      <c r="F76" s="15" t="n">
        <v>5000</v>
      </c>
      <c r="H76" s="11" t="s">
        <v>169</v>
      </c>
    </row>
    <row r="77" customFormat="false" ht="15.75" hidden="false" customHeight="true" outlineLevel="0" collapsed="false">
      <c r="A77" s="9" t="s">
        <v>170</v>
      </c>
      <c r="B77" s="26" t="n">
        <v>0.083</v>
      </c>
      <c r="C77" s="27" t="n">
        <v>0.36</v>
      </c>
      <c r="D77" s="27" t="n">
        <v>0.3</v>
      </c>
      <c r="E77" s="27" t="n">
        <v>0.24</v>
      </c>
      <c r="F77" s="15" t="n">
        <v>1000</v>
      </c>
      <c r="H77" s="11" t="s">
        <v>169</v>
      </c>
    </row>
    <row r="78" customFormat="false" ht="15.75" hidden="false" customHeight="true" outlineLevel="0" collapsed="false">
      <c r="A78" s="9" t="s">
        <v>171</v>
      </c>
      <c r="B78" s="26" t="n">
        <v>0.022</v>
      </c>
      <c r="C78" s="27" t="n">
        <v>10</v>
      </c>
      <c r="D78" s="27" t="n">
        <v>9</v>
      </c>
      <c r="E78" s="27" t="n">
        <v>8</v>
      </c>
      <c r="F78" s="15" t="n">
        <v>200</v>
      </c>
    </row>
    <row r="79" customFormat="false" ht="15.75" hidden="false" customHeight="true" outlineLevel="0" collapsed="false">
      <c r="A79" s="28" t="s">
        <v>172</v>
      </c>
      <c r="B79" s="26" t="n">
        <v>0.011</v>
      </c>
      <c r="C79" s="27" t="n">
        <v>10</v>
      </c>
      <c r="D79" s="27" t="n">
        <v>9</v>
      </c>
      <c r="E79" s="27" t="n">
        <v>8</v>
      </c>
      <c r="F79" s="15" t="n">
        <v>200</v>
      </c>
      <c r="H79" s="11" t="s">
        <v>173</v>
      </c>
    </row>
    <row r="80" customFormat="false" ht="15.75" hidden="false" customHeight="true" outlineLevel="0" collapsed="false">
      <c r="A80" s="28" t="s">
        <v>174</v>
      </c>
      <c r="B80" s="26" t="n">
        <v>0.02</v>
      </c>
      <c r="C80" s="27" t="n">
        <v>5</v>
      </c>
      <c r="D80" s="27" t="n">
        <v>4</v>
      </c>
      <c r="E80" s="27" t="n">
        <v>3.25</v>
      </c>
      <c r="F80" s="15" t="n">
        <v>100</v>
      </c>
      <c r="H80" s="11" t="s">
        <v>175</v>
      </c>
    </row>
    <row r="81" customFormat="false" ht="15.75" hidden="false" customHeight="true" outlineLevel="0" collapsed="false">
      <c r="A81" s="28" t="s">
        <v>176</v>
      </c>
      <c r="B81" s="26" t="n">
        <v>0.011</v>
      </c>
      <c r="C81" s="27" t="n">
        <v>5</v>
      </c>
      <c r="D81" s="27" t="n">
        <v>4.5</v>
      </c>
      <c r="E81" s="27" t="n">
        <v>4</v>
      </c>
      <c r="F81" s="15" t="n">
        <v>100</v>
      </c>
      <c r="H81" s="11" t="s">
        <v>177</v>
      </c>
    </row>
    <row r="82" customFormat="false" ht="15.75" hidden="false" customHeight="true" outlineLevel="0" collapsed="false">
      <c r="A82" s="28" t="s">
        <v>178</v>
      </c>
      <c r="B82" s="26" t="n">
        <v>0.009</v>
      </c>
      <c r="C82" s="27" t="n">
        <v>2.5</v>
      </c>
      <c r="D82" s="27" t="n">
        <v>2.25</v>
      </c>
      <c r="E82" s="27" t="n">
        <v>2</v>
      </c>
      <c r="F82" s="15" t="n">
        <v>50</v>
      </c>
      <c r="H82" s="11" t="s">
        <v>179</v>
      </c>
    </row>
    <row r="83" customFormat="false" ht="15.75" hidden="false" customHeight="true" outlineLevel="0" collapsed="false">
      <c r="A83" s="28" t="s">
        <v>180</v>
      </c>
      <c r="B83" s="26" t="n">
        <v>0.009</v>
      </c>
      <c r="C83" s="27" t="n">
        <v>10</v>
      </c>
      <c r="D83" s="27" t="n">
        <v>9</v>
      </c>
      <c r="E83" s="27" t="n">
        <v>8</v>
      </c>
      <c r="F83" s="15" t="n">
        <v>100</v>
      </c>
      <c r="H83" s="11" t="s">
        <v>181</v>
      </c>
    </row>
    <row r="84" customFormat="false" ht="15.75" hidden="false" customHeight="true" outlineLevel="0" collapsed="false">
      <c r="A84" s="28" t="s">
        <v>182</v>
      </c>
      <c r="B84" s="26" t="n">
        <v>0.0007</v>
      </c>
      <c r="C84" s="27" t="n">
        <v>6</v>
      </c>
      <c r="D84" s="27" t="n">
        <v>5.5</v>
      </c>
      <c r="E84" s="27" t="n">
        <v>5</v>
      </c>
      <c r="F84" s="15" t="n">
        <v>25</v>
      </c>
      <c r="H84" s="11" t="s">
        <v>183</v>
      </c>
    </row>
    <row r="85" customFormat="false" ht="15.75" hidden="false" customHeight="true" outlineLevel="0" collapsed="false">
      <c r="A85" s="9" t="s">
        <v>184</v>
      </c>
      <c r="B85" s="26" t="n">
        <v>0.0007</v>
      </c>
      <c r="C85" s="27" t="n">
        <v>2.4</v>
      </c>
      <c r="D85" s="27" t="n">
        <v>2</v>
      </c>
      <c r="E85" s="27" t="n">
        <v>1.6</v>
      </c>
      <c r="F85" s="15" t="n">
        <v>100</v>
      </c>
    </row>
    <row r="86" customFormat="false" ht="15.75" hidden="false" customHeight="true" outlineLevel="0" collapsed="false">
      <c r="A86" s="28" t="s">
        <v>185</v>
      </c>
      <c r="B86" s="26" t="n">
        <v>0.0007</v>
      </c>
      <c r="C86" s="27" t="n">
        <v>0.5</v>
      </c>
      <c r="D86" s="27" t="n">
        <v>0.4</v>
      </c>
      <c r="E86" s="27" t="n">
        <v>0.33</v>
      </c>
      <c r="F86" s="15" t="n">
        <v>50</v>
      </c>
      <c r="H86" s="11" t="s">
        <v>186</v>
      </c>
    </row>
    <row r="87" customFormat="false" ht="15.75" hidden="false" customHeight="true" outlineLevel="0" collapsed="false">
      <c r="A87" s="28" t="s">
        <v>187</v>
      </c>
      <c r="B87" s="26" t="n">
        <v>0.013</v>
      </c>
      <c r="C87" s="27" t="n">
        <v>4</v>
      </c>
      <c r="D87" s="27" t="n">
        <v>3.5</v>
      </c>
      <c r="E87" s="27" t="n">
        <v>3</v>
      </c>
      <c r="F87" s="15" t="n">
        <v>100</v>
      </c>
      <c r="H87" s="11" t="s">
        <v>188</v>
      </c>
    </row>
    <row r="88" customFormat="false" ht="15.75" hidden="false" customHeight="true" outlineLevel="0" collapsed="false"/>
    <row r="89" customFormat="false" ht="18" hidden="false" customHeight="true" outlineLevel="0" collapsed="false">
      <c r="A89" s="6" t="s">
        <v>189</v>
      </c>
      <c r="B89" s="7"/>
      <c r="C89" s="7"/>
      <c r="D89" s="7"/>
      <c r="E89" s="7"/>
      <c r="F89" s="7"/>
      <c r="G89" s="7"/>
      <c r="H89" s="7"/>
    </row>
    <row r="90" customFormat="false" ht="15.75" hidden="false" customHeight="true" outlineLevel="0" collapsed="false">
      <c r="A90" s="8" t="s">
        <v>160</v>
      </c>
      <c r="B90" s="8" t="s">
        <v>161</v>
      </c>
      <c r="C90" s="8" t="s">
        <v>162</v>
      </c>
      <c r="D90" s="8" t="s">
        <v>163</v>
      </c>
      <c r="E90" s="8" t="s">
        <v>164</v>
      </c>
      <c r="F90" s="8" t="s">
        <v>165</v>
      </c>
      <c r="G90" s="8"/>
      <c r="H90" s="8" t="s">
        <v>63</v>
      </c>
    </row>
    <row r="91" customFormat="false" ht="15.75" hidden="false" customHeight="true" outlineLevel="0" collapsed="false">
      <c r="A91" s="9" t="s">
        <v>190</v>
      </c>
      <c r="B91" s="26" t="n">
        <v>0.015</v>
      </c>
      <c r="C91" s="27" t="n">
        <v>6.67</v>
      </c>
      <c r="D91" s="27" t="n">
        <v>5.5</v>
      </c>
      <c r="E91" s="27" t="n">
        <v>4.5</v>
      </c>
      <c r="F91" s="15" t="n">
        <v>50</v>
      </c>
    </row>
    <row r="92" customFormat="false" ht="15.75" hidden="false" customHeight="true" outlineLevel="0" collapsed="false">
      <c r="A92" s="9" t="s">
        <v>174</v>
      </c>
      <c r="B92" s="26" t="n">
        <v>0.008</v>
      </c>
      <c r="C92" s="27" t="n">
        <v>5</v>
      </c>
      <c r="D92" s="27" t="n">
        <v>4</v>
      </c>
      <c r="E92" s="27" t="n">
        <v>3.25</v>
      </c>
      <c r="F92" s="15" t="n">
        <v>100</v>
      </c>
      <c r="H92" s="11" t="s">
        <v>191</v>
      </c>
    </row>
    <row r="93" customFormat="false" ht="15.75" hidden="false" customHeight="true" outlineLevel="0" collapsed="false">
      <c r="A93" s="9" t="s">
        <v>192</v>
      </c>
      <c r="B93" s="26" t="n">
        <v>0.005</v>
      </c>
      <c r="C93" s="27" t="n">
        <v>6</v>
      </c>
      <c r="D93" s="27" t="n">
        <v>5</v>
      </c>
      <c r="E93" s="27" t="n">
        <v>4</v>
      </c>
      <c r="F93" s="15" t="n">
        <v>50</v>
      </c>
    </row>
    <row r="94" customFormat="false" ht="15.75" hidden="false" customHeight="true" outlineLevel="0" collapsed="false">
      <c r="A94" s="9" t="s">
        <v>185</v>
      </c>
      <c r="B94" s="26" t="n">
        <v>0.003</v>
      </c>
      <c r="C94" s="27" t="n">
        <v>0.5</v>
      </c>
      <c r="D94" s="27" t="n">
        <v>0.4</v>
      </c>
      <c r="E94" s="27" t="n">
        <v>0.33</v>
      </c>
      <c r="F94" s="15" t="n">
        <v>50</v>
      </c>
    </row>
    <row r="95" customFormat="false" ht="15.75" hidden="false" customHeight="true" outlineLevel="0" collapsed="false">
      <c r="A95" s="9" t="s">
        <v>193</v>
      </c>
      <c r="B95" s="26" t="n">
        <v>0.005</v>
      </c>
      <c r="C95" s="27" t="n">
        <v>4</v>
      </c>
      <c r="D95" s="27" t="n">
        <v>3.5</v>
      </c>
      <c r="E95" s="27" t="n">
        <v>3</v>
      </c>
      <c r="F95" s="15" t="n">
        <v>50</v>
      </c>
    </row>
    <row r="96" customFormat="false" ht="15.75" hidden="false" customHeight="true" outlineLevel="0" collapsed="false">
      <c r="A96" s="9" t="s">
        <v>194</v>
      </c>
      <c r="B96" s="26" t="n">
        <v>0.008</v>
      </c>
      <c r="C96" s="27" t="n">
        <v>5</v>
      </c>
      <c r="D96" s="27" t="n">
        <v>4.25</v>
      </c>
      <c r="E96" s="27" t="n">
        <v>3.5</v>
      </c>
      <c r="F96" s="15" t="n">
        <v>25</v>
      </c>
    </row>
    <row r="97" customFormat="false" ht="15.75" hidden="false" customHeight="true" outlineLevel="0" collapsed="false">
      <c r="A97" s="9" t="s">
        <v>195</v>
      </c>
      <c r="B97" s="26" t="n">
        <v>0.003</v>
      </c>
      <c r="C97" s="27" t="n">
        <v>1.33</v>
      </c>
      <c r="D97" s="27" t="n">
        <v>1</v>
      </c>
      <c r="E97" s="27" t="n">
        <v>0.83</v>
      </c>
      <c r="F97" s="15" t="n">
        <v>50</v>
      </c>
    </row>
    <row r="98" customFormat="false" ht="15.75" hidden="false" customHeight="true" outlineLevel="0" collapsed="false">
      <c r="A98" s="9" t="s">
        <v>196</v>
      </c>
      <c r="B98" s="26" t="n">
        <v>0.01</v>
      </c>
      <c r="C98" s="27" t="n">
        <v>4</v>
      </c>
      <c r="D98" s="27" t="n">
        <v>3.5</v>
      </c>
      <c r="E98" s="27" t="n">
        <v>3</v>
      </c>
      <c r="F98" s="15" t="n">
        <v>25</v>
      </c>
    </row>
    <row r="99" customFormat="false" ht="15.75" hidden="false" customHeight="true" outlineLevel="0" collapsed="false">
      <c r="A99" s="9" t="s">
        <v>197</v>
      </c>
      <c r="B99" s="26" t="n">
        <v>1</v>
      </c>
      <c r="C99" s="27" t="n">
        <v>0.05</v>
      </c>
      <c r="D99" s="27" t="n">
        <v>0.04</v>
      </c>
      <c r="E99" s="27" t="n">
        <v>0.03</v>
      </c>
      <c r="F99" s="15" t="n">
        <v>10000</v>
      </c>
      <c r="H99" s="11" t="s">
        <v>169</v>
      </c>
    </row>
    <row r="100" customFormat="false" ht="15.75" hidden="false" customHeight="true" outlineLevel="0" collapsed="false"/>
    <row r="101" customFormat="false" ht="18" hidden="false" customHeight="true" outlineLevel="0" collapsed="false">
      <c r="A101" s="6" t="s">
        <v>198</v>
      </c>
      <c r="B101" s="7"/>
      <c r="C101" s="7"/>
      <c r="D101" s="7"/>
      <c r="E101" s="7"/>
      <c r="F101" s="7"/>
      <c r="G101" s="7"/>
      <c r="H101" s="7"/>
    </row>
    <row r="102" customFormat="false" ht="15.75" hidden="false" customHeight="true" outlineLevel="0" collapsed="false">
      <c r="A102" s="8" t="s">
        <v>199</v>
      </c>
      <c r="B102" s="8" t="s">
        <v>200</v>
      </c>
      <c r="C102" s="8" t="s">
        <v>201</v>
      </c>
      <c r="D102" s="8" t="s">
        <v>202</v>
      </c>
      <c r="E102" s="8" t="s">
        <v>203</v>
      </c>
      <c r="F102" s="8"/>
      <c r="G102" s="8"/>
      <c r="H102" s="8"/>
    </row>
    <row r="103" customFormat="false" ht="15.75" hidden="false" customHeight="true" outlineLevel="0" collapsed="false">
      <c r="A103" s="9" t="s">
        <v>204</v>
      </c>
      <c r="B103" s="15" t="n">
        <v>2000</v>
      </c>
      <c r="C103" s="15" t="n">
        <v>1500</v>
      </c>
      <c r="D103" s="25" t="n">
        <v>1.15</v>
      </c>
      <c r="E103" s="25" t="n">
        <v>0.85</v>
      </c>
    </row>
    <row r="104" customFormat="false" ht="15.75" hidden="false" customHeight="true" outlineLevel="0" collapsed="false">
      <c r="A104" s="9" t="s">
        <v>205</v>
      </c>
      <c r="B104" s="15" t="n">
        <v>3000</v>
      </c>
      <c r="C104" s="15" t="n">
        <v>2500</v>
      </c>
      <c r="D104" s="25" t="n">
        <v>1.1</v>
      </c>
      <c r="E104" s="25" t="n">
        <v>0.85</v>
      </c>
    </row>
    <row r="105" customFormat="false" ht="15.75" hidden="false" customHeight="true" outlineLevel="0" collapsed="false">
      <c r="A105" s="9" t="s">
        <v>206</v>
      </c>
      <c r="B105" s="15" t="n">
        <v>4000</v>
      </c>
      <c r="C105" s="15" t="n">
        <v>3500</v>
      </c>
      <c r="D105" s="25" t="n">
        <v>1.05</v>
      </c>
      <c r="E105" s="25" t="n">
        <v>0.9</v>
      </c>
    </row>
    <row r="106" customFormat="false" ht="15.75" hidden="false" customHeight="true" outlineLevel="0" collapsed="false">
      <c r="A106" s="9" t="s">
        <v>207</v>
      </c>
      <c r="B106" s="15" t="n">
        <v>5000</v>
      </c>
      <c r="C106" s="15" t="n">
        <v>4500</v>
      </c>
      <c r="D106" s="25" t="n">
        <v>0.95</v>
      </c>
      <c r="E106" s="25" t="n">
        <v>1</v>
      </c>
    </row>
    <row r="107" customFormat="false" ht="15.75" hidden="false" customHeight="true" outlineLevel="0" collapsed="false">
      <c r="A107" s="9" t="s">
        <v>208</v>
      </c>
      <c r="B107" s="15" t="n">
        <v>5500</v>
      </c>
      <c r="C107" s="15" t="n">
        <v>5000</v>
      </c>
      <c r="D107" s="25" t="n">
        <v>0.9</v>
      </c>
      <c r="E107" s="25" t="n">
        <v>1.1</v>
      </c>
    </row>
    <row r="108" customFormat="false" ht="15.75" hidden="false" customHeight="true" outlineLevel="0" collapsed="false">
      <c r="A108" s="9" t="s">
        <v>209</v>
      </c>
      <c r="B108" s="15" t="n">
        <v>6000</v>
      </c>
      <c r="C108" s="15" t="n">
        <v>5500</v>
      </c>
      <c r="D108" s="25" t="n">
        <v>0.95</v>
      </c>
      <c r="E108" s="25" t="n">
        <v>1.2</v>
      </c>
    </row>
    <row r="109" customFormat="false" ht="15.75" hidden="false" customHeight="true" outlineLevel="0" collapsed="false">
      <c r="A109" s="9" t="s">
        <v>210</v>
      </c>
      <c r="B109" s="15" t="n">
        <v>6500</v>
      </c>
      <c r="C109" s="15" t="n">
        <v>6000</v>
      </c>
      <c r="D109" s="25" t="n">
        <v>1</v>
      </c>
      <c r="E109" s="25" t="n">
        <v>1.25</v>
      </c>
    </row>
    <row r="110" customFormat="false" ht="15.75" hidden="false" customHeight="true" outlineLevel="0" collapsed="false">
      <c r="A110" s="9" t="s">
        <v>211</v>
      </c>
      <c r="B110" s="15" t="n">
        <v>7000</v>
      </c>
      <c r="C110" s="15" t="n">
        <v>6500</v>
      </c>
      <c r="D110" s="25" t="n">
        <v>1</v>
      </c>
      <c r="E110" s="25" t="n">
        <v>1.2</v>
      </c>
    </row>
    <row r="111" customFormat="false" ht="15.75" hidden="false" customHeight="true" outlineLevel="0" collapsed="false">
      <c r="A111" s="9" t="s">
        <v>212</v>
      </c>
      <c r="B111" s="15" t="n">
        <v>7500</v>
      </c>
      <c r="C111" s="15" t="n">
        <v>7000</v>
      </c>
      <c r="D111" s="25" t="n">
        <v>0.95</v>
      </c>
      <c r="E111" s="25" t="n">
        <v>1.05</v>
      </c>
    </row>
    <row r="112" customFormat="false" ht="15.75" hidden="false" customHeight="true" outlineLevel="0" collapsed="false">
      <c r="A112" s="9" t="s">
        <v>213</v>
      </c>
      <c r="B112" s="15" t="n">
        <v>8000</v>
      </c>
      <c r="C112" s="15" t="n">
        <v>7500</v>
      </c>
      <c r="D112" s="25" t="n">
        <v>0.95</v>
      </c>
      <c r="E112" s="25" t="n">
        <v>0.9</v>
      </c>
    </row>
    <row r="113" customFormat="false" ht="15.75" hidden="false" customHeight="true" outlineLevel="0" collapsed="false">
      <c r="A113" s="9" t="s">
        <v>214</v>
      </c>
      <c r="B113" s="15" t="n">
        <v>8500</v>
      </c>
      <c r="C113" s="15" t="n">
        <v>8000</v>
      </c>
      <c r="D113" s="25" t="n">
        <v>1</v>
      </c>
      <c r="E113" s="25" t="n">
        <v>0.85</v>
      </c>
    </row>
    <row r="114" customFormat="false" ht="15.75" hidden="false" customHeight="true" outlineLevel="0" collapsed="false">
      <c r="A114" s="9" t="s">
        <v>215</v>
      </c>
      <c r="B114" s="15" t="n">
        <v>9000</v>
      </c>
      <c r="C114" s="15" t="n">
        <v>8500</v>
      </c>
      <c r="D114" s="25" t="n">
        <v>1</v>
      </c>
      <c r="E114" s="25" t="n">
        <v>0.85</v>
      </c>
    </row>
    <row r="115" customFormat="false" ht="15.75" hidden="false" customHeight="true" outlineLevel="0" collapsed="false">
      <c r="A115" s="17" t="s">
        <v>216</v>
      </c>
      <c r="B115" s="29" t="n">
        <f aca="false">SUM(B103:B114)</f>
        <v>72000</v>
      </c>
      <c r="C115" s="29" t="n">
        <f aca="false">SUM(C103:C114)</f>
        <v>66000</v>
      </c>
      <c r="D115" s="17" t="s">
        <v>217</v>
      </c>
      <c r="E115" s="30" t="n">
        <f aca="false">AVERAGE(E103:E114)</f>
        <v>1</v>
      </c>
    </row>
    <row r="116" customFormat="false" ht="15.75" hidden="false" customHeight="true" outlineLevel="0" collapsed="false"/>
    <row r="117" customFormat="false" ht="18" hidden="false" customHeight="true" outlineLevel="0" collapsed="false">
      <c r="A117" s="6" t="s">
        <v>218</v>
      </c>
      <c r="B117" s="7"/>
      <c r="C117" s="7"/>
      <c r="D117" s="7"/>
      <c r="E117" s="7"/>
      <c r="F117" s="7"/>
      <c r="G117" s="7"/>
      <c r="H117" s="7"/>
    </row>
    <row r="118" customFormat="false" ht="15.75" hidden="false" customHeight="true" outlineLevel="0" collapsed="false">
      <c r="A118" s="8" t="s">
        <v>219</v>
      </c>
      <c r="B118" s="8" t="s">
        <v>220</v>
      </c>
      <c r="C118" s="8" t="s">
        <v>221</v>
      </c>
      <c r="D118" s="8" t="s">
        <v>63</v>
      </c>
      <c r="E118" s="8"/>
      <c r="F118" s="8"/>
      <c r="G118" s="8"/>
      <c r="H118" s="8"/>
    </row>
    <row r="119" customFormat="false" ht="15.75" hidden="false" customHeight="true" outlineLevel="0" collapsed="false">
      <c r="A119" s="9" t="s">
        <v>222</v>
      </c>
      <c r="B119" s="19" t="n">
        <v>10000</v>
      </c>
      <c r="C119" s="15" t="n">
        <v>-3</v>
      </c>
      <c r="D119" s="11" t="s">
        <v>223</v>
      </c>
    </row>
    <row r="120" customFormat="false" ht="15.75" hidden="false" customHeight="true" outlineLevel="0" collapsed="false">
      <c r="A120" s="9" t="s">
        <v>224</v>
      </c>
      <c r="B120" s="19" t="n">
        <v>150000</v>
      </c>
      <c r="C120" s="15" t="n">
        <v>-6</v>
      </c>
      <c r="D120" s="11" t="s">
        <v>225</v>
      </c>
    </row>
    <row r="121" customFormat="false" ht="15.75" hidden="false" customHeight="true" outlineLevel="0" collapsed="false">
      <c r="A121" s="9" t="s">
        <v>226</v>
      </c>
      <c r="B121" s="19" t="n">
        <v>15000</v>
      </c>
      <c r="C121" s="15" t="n">
        <v>-1</v>
      </c>
      <c r="D121" s="11" t="s">
        <v>227</v>
      </c>
    </row>
    <row r="122" customFormat="false" ht="15.75" hidden="false" customHeight="true" outlineLevel="0" collapsed="false">
      <c r="A122" s="9" t="s">
        <v>228</v>
      </c>
      <c r="B122" s="19" t="n">
        <v>17500</v>
      </c>
      <c r="C122" s="15" t="n">
        <v>-4</v>
      </c>
      <c r="D122" s="11" t="s">
        <v>229</v>
      </c>
    </row>
    <row r="123" customFormat="false" ht="15.75" hidden="false" customHeight="true" outlineLevel="0" collapsed="false">
      <c r="A123" s="9" t="s">
        <v>230</v>
      </c>
      <c r="B123" s="19" t="n">
        <v>25000</v>
      </c>
      <c r="C123" s="15" t="n">
        <v>-4</v>
      </c>
      <c r="D123" s="11" t="s">
        <v>231</v>
      </c>
    </row>
    <row r="124" customFormat="false" ht="15.75" hidden="false" customHeight="true" outlineLevel="0" collapsed="false">
      <c r="A124" s="9" t="s">
        <v>232</v>
      </c>
      <c r="B124" s="19" t="n">
        <v>15000</v>
      </c>
      <c r="C124" s="15" t="n">
        <v>-5</v>
      </c>
      <c r="D124" s="11" t="s">
        <v>233</v>
      </c>
    </row>
    <row r="125" customFormat="false" ht="15.75" hidden="false" customHeight="true" outlineLevel="0" collapsed="false">
      <c r="A125" s="17" t="s">
        <v>234</v>
      </c>
      <c r="B125" s="31" t="n">
        <f aca="false">SUM(B119:B124)</f>
        <v>232500</v>
      </c>
    </row>
    <row r="126" customFormat="false" ht="15.75" hidden="false" customHeight="true" outlineLevel="0" collapsed="false"/>
    <row r="127" customFormat="false" ht="18" hidden="false" customHeight="true" outlineLevel="0" collapsed="false">
      <c r="A127" s="6" t="s">
        <v>235</v>
      </c>
      <c r="B127" s="7"/>
      <c r="C127" s="7"/>
      <c r="D127" s="7"/>
      <c r="E127" s="7"/>
      <c r="F127" s="7"/>
      <c r="G127" s="7"/>
      <c r="H127" s="7"/>
    </row>
    <row r="128" customFormat="false" ht="15.75" hidden="false" customHeight="true" outlineLevel="0" collapsed="false">
      <c r="A128" s="9" t="s">
        <v>236</v>
      </c>
      <c r="B128" s="19" t="n">
        <v>100000</v>
      </c>
    </row>
    <row r="129" customFormat="false" ht="15.75" hidden="false" customHeight="true" outlineLevel="0" collapsed="false">
      <c r="A129" s="9" t="s">
        <v>237</v>
      </c>
      <c r="B129" s="19" t="n">
        <v>2500000</v>
      </c>
    </row>
    <row r="130" customFormat="false" ht="15.75" hidden="false" customHeight="true" outlineLevel="0" collapsed="false">
      <c r="A130" s="9" t="s">
        <v>238</v>
      </c>
      <c r="B130" s="19" t="n">
        <v>0</v>
      </c>
    </row>
    <row r="131" customFormat="false" ht="15.75" hidden="false" customHeight="true" outlineLevel="0" collapsed="false">
      <c r="A131" s="9" t="s">
        <v>239</v>
      </c>
      <c r="B131" s="10" t="n">
        <v>0.08</v>
      </c>
    </row>
    <row r="132" customFormat="false" ht="15.75" hidden="false" customHeight="true" outlineLevel="0" collapsed="false">
      <c r="A132" s="9" t="s">
        <v>240</v>
      </c>
      <c r="B132" s="15" t="n">
        <v>36</v>
      </c>
    </row>
    <row r="133" customFormat="false" ht="15.75" hidden="false" customHeight="true" outlineLevel="0" collapsed="false"/>
    <row r="134" customFormat="false" ht="18" hidden="false" customHeight="true" outlineLevel="0" collapsed="false">
      <c r="A134" s="6" t="s">
        <v>241</v>
      </c>
      <c r="B134" s="7"/>
      <c r="C134" s="7"/>
      <c r="D134" s="7"/>
      <c r="E134" s="7"/>
      <c r="F134" s="7"/>
      <c r="G134" s="7"/>
      <c r="H134" s="7"/>
    </row>
    <row r="135" customFormat="false" ht="15.75" hidden="false" customHeight="true" outlineLevel="0" collapsed="false">
      <c r="A135" s="8" t="s">
        <v>242</v>
      </c>
      <c r="B135" s="8" t="s">
        <v>243</v>
      </c>
      <c r="C135" s="8" t="s">
        <v>244</v>
      </c>
      <c r="D135" s="8" t="s">
        <v>245</v>
      </c>
      <c r="E135" s="8" t="s">
        <v>63</v>
      </c>
      <c r="F135" s="8"/>
      <c r="G135" s="8"/>
      <c r="H135" s="8"/>
    </row>
    <row r="136" customFormat="false" ht="15.75" hidden="false" customHeight="true" outlineLevel="0" collapsed="false">
      <c r="A136" s="9" t="s">
        <v>246</v>
      </c>
      <c r="B136" s="16" t="s">
        <v>247</v>
      </c>
      <c r="C136" s="19" t="n">
        <v>0</v>
      </c>
      <c r="D136" s="15" t="n">
        <v>24</v>
      </c>
      <c r="E136" s="11" t="s">
        <v>248</v>
      </c>
    </row>
    <row r="137" customFormat="false" ht="15.75" hidden="false" customHeight="true" outlineLevel="0" collapsed="false">
      <c r="A137" s="9" t="s">
        <v>249</v>
      </c>
      <c r="B137" s="16" t="s">
        <v>250</v>
      </c>
      <c r="C137" s="19" t="n">
        <v>3500</v>
      </c>
      <c r="D137" s="15" t="n">
        <v>12</v>
      </c>
      <c r="E137" s="11" t="s">
        <v>251</v>
      </c>
    </row>
    <row r="138" customFormat="false" ht="15.75" hidden="false" customHeight="true" outlineLevel="0" collapsed="false">
      <c r="A138" s="9" t="s">
        <v>252</v>
      </c>
      <c r="B138" s="16" t="s">
        <v>253</v>
      </c>
      <c r="C138" s="19" t="n">
        <v>2000</v>
      </c>
      <c r="D138" s="15" t="n">
        <v>36</v>
      </c>
      <c r="E138" s="11" t="s">
        <v>254</v>
      </c>
    </row>
    <row r="139" customFormat="false" ht="15.75" hidden="false" customHeight="true" outlineLevel="0" collapsed="false">
      <c r="A139" s="17" t="s">
        <v>255</v>
      </c>
      <c r="C139" s="31" t="n">
        <f aca="false">SUM(C136:C138)</f>
        <v>5500</v>
      </c>
    </row>
    <row r="140" customFormat="false" ht="15.75" hidden="false" customHeight="true" outlineLevel="0" collapsed="false"/>
    <row r="141" customFormat="false" ht="18" hidden="false" customHeight="true" outlineLevel="0" collapsed="false">
      <c r="A141" s="6" t="s">
        <v>256</v>
      </c>
      <c r="B141" s="7"/>
      <c r="C141" s="7"/>
      <c r="D141" s="7"/>
      <c r="E141" s="7"/>
      <c r="F141" s="7"/>
      <c r="G141" s="7"/>
      <c r="H141" s="7"/>
    </row>
    <row r="142" customFormat="false" ht="15.75" hidden="false" customHeight="true" outlineLevel="0" collapsed="false">
      <c r="A142" s="9" t="s">
        <v>257</v>
      </c>
      <c r="B142" s="15" t="n">
        <v>5000</v>
      </c>
    </row>
    <row r="143" customFormat="false" ht="15.75" hidden="false" customHeight="true" outlineLevel="0" collapsed="false">
      <c r="A143" s="9" t="s">
        <v>258</v>
      </c>
      <c r="B143" s="15" t="n">
        <v>10000</v>
      </c>
    </row>
    <row r="144" customFormat="false" ht="15.75" hidden="false" customHeight="true" outlineLevel="0" collapsed="false"/>
    <row r="145" customFormat="false" ht="15.75" hidden="false" customHeight="true" outlineLevel="0" collapsed="false">
      <c r="A145" s="32" t="s">
        <v>259</v>
      </c>
    </row>
    <row r="146" customFormat="false" ht="15.75" hidden="false" customHeight="true" outlineLevel="0" collapsed="false">
      <c r="A146" s="33" t="s">
        <v>61</v>
      </c>
      <c r="B146" s="33" t="s">
        <v>260</v>
      </c>
      <c r="H146" s="33" t="s">
        <v>63</v>
      </c>
    </row>
    <row r="147" customFormat="false" ht="15.75" hidden="false" customHeight="true" outlineLevel="0" collapsed="false">
      <c r="A147" s="1" t="s">
        <v>261</v>
      </c>
      <c r="B147" s="1" t="n">
        <v>35</v>
      </c>
      <c r="H147" s="1" t="s">
        <v>262</v>
      </c>
    </row>
    <row r="148" customFormat="false" ht="15.75" hidden="false" customHeight="true" outlineLevel="0" collapsed="false">
      <c r="A148" s="1" t="s">
        <v>263</v>
      </c>
      <c r="B148" s="1" t="n">
        <v>60</v>
      </c>
      <c r="H148" s="1" t="s">
        <v>264</v>
      </c>
    </row>
    <row r="149" customFormat="false" ht="15.75" hidden="false" customHeight="true" outlineLevel="0" collapsed="false">
      <c r="A149" s="1" t="s">
        <v>265</v>
      </c>
      <c r="B149" s="1" t="n">
        <v>30</v>
      </c>
      <c r="H149" s="1" t="s">
        <v>266</v>
      </c>
    </row>
    <row r="150" customFormat="false" ht="15.75" hidden="false" customHeight="true" outlineLevel="0" collapsed="false">
      <c r="A150" s="1" t="s">
        <v>267</v>
      </c>
      <c r="B150" s="1" t="n">
        <f aca="false">B147+B148-B149</f>
        <v>65</v>
      </c>
      <c r="H150" s="1" t="s">
        <v>268</v>
      </c>
    </row>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customHeight="true" zeroHeight="false" outlineLevelRow="0" outlineLevelCol="0"/>
  <cols>
    <col collapsed="false" customWidth="true" hidden="false" outlineLevel="0" max="1" min="1" style="1" width="50.29"/>
    <col collapsed="false" customWidth="true" hidden="false" outlineLevel="0" max="2" min="2" style="1" width="16"/>
    <col collapsed="false" customWidth="true" hidden="false" outlineLevel="0" max="8" min="3" style="1" width="14"/>
    <col collapsed="false" customWidth="true" hidden="false" outlineLevel="0" max="26" min="9" style="1" width="8.71"/>
  </cols>
  <sheetData>
    <row r="1" customFormat="false" ht="21.75" hidden="false" customHeight="true" outlineLevel="0" collapsed="false">
      <c r="A1" s="2" t="s">
        <v>269</v>
      </c>
    </row>
    <row r="3" customFormat="false" ht="15" hidden="false" customHeight="true" outlineLevel="0" collapsed="false">
      <c r="A3" s="34" t="s">
        <v>270</v>
      </c>
    </row>
    <row r="5" customFormat="false" ht="18" hidden="false" customHeight="true" outlineLevel="0" collapsed="false">
      <c r="A5" s="6" t="s">
        <v>271</v>
      </c>
      <c r="B5" s="7"/>
      <c r="C5" s="7"/>
      <c r="D5" s="7"/>
      <c r="E5" s="7"/>
      <c r="F5" s="7"/>
      <c r="G5" s="7"/>
      <c r="H5" s="7"/>
    </row>
    <row r="6" customFormat="false" ht="15" hidden="false" customHeight="true" outlineLevel="0" collapsed="false">
      <c r="A6" s="8" t="s">
        <v>160</v>
      </c>
      <c r="B6" s="8" t="s">
        <v>272</v>
      </c>
      <c r="C6" s="8" t="s">
        <v>162</v>
      </c>
      <c r="D6" s="8" t="s">
        <v>163</v>
      </c>
      <c r="E6" s="8" t="s">
        <v>164</v>
      </c>
      <c r="F6" s="8" t="s">
        <v>273</v>
      </c>
      <c r="G6" s="8" t="s">
        <v>274</v>
      </c>
      <c r="H6" s="8" t="s">
        <v>275</v>
      </c>
    </row>
    <row r="7" customFormat="false" ht="15" hidden="false" customHeight="true" outlineLevel="0" collapsed="false">
      <c r="A7" s="35" t="str">
        <f aca="false">INPUTS!A74</f>
        <v>Flavoring Orig</v>
      </c>
      <c r="B7" s="36" t="n">
        <f aca="false">INPUTS!B74</f>
        <v>0.001</v>
      </c>
      <c r="C7" s="37" t="n">
        <f aca="false">INPUTS!C74</f>
        <v>4</v>
      </c>
      <c r="D7" s="37" t="n">
        <f aca="false">INPUTS!D74</f>
        <v>3.5</v>
      </c>
      <c r="E7" s="37" t="n">
        <f aca="false">INPUTS!E74</f>
        <v>3</v>
      </c>
      <c r="F7" s="38" t="n">
        <f aca="false">B7*C7</f>
        <v>0.004</v>
      </c>
      <c r="G7" s="38" t="n">
        <f aca="false">B7*D7</f>
        <v>0.0035</v>
      </c>
      <c r="H7" s="38" t="n">
        <f aca="false">B7*E7</f>
        <v>0.003</v>
      </c>
    </row>
    <row r="8" customFormat="false" ht="15" hidden="false" customHeight="true" outlineLevel="0" collapsed="false">
      <c r="A8" s="35" t="str">
        <f aca="false">INPUTS!A75</f>
        <v>Flavoring Berry</v>
      </c>
      <c r="B8" s="36" t="n">
        <f aca="false">INPUTS!B75</f>
        <v>0.0011</v>
      </c>
      <c r="C8" s="37" t="n">
        <f aca="false">INPUTS!C75</f>
        <v>5</v>
      </c>
      <c r="D8" s="37" t="n">
        <f aca="false">INPUTS!D75</f>
        <v>4.33</v>
      </c>
      <c r="E8" s="37" t="n">
        <f aca="false">INPUTS!E75</f>
        <v>3.75</v>
      </c>
      <c r="F8" s="38" t="n">
        <f aca="false">B8*C8</f>
        <v>0.0055</v>
      </c>
      <c r="G8" s="38" t="n">
        <f aca="false">B8*D8</f>
        <v>0.004763</v>
      </c>
      <c r="H8" s="38" t="n">
        <f aca="false">B8*E8</f>
        <v>0.004125</v>
      </c>
    </row>
    <row r="9" customFormat="false" ht="15" hidden="false" customHeight="true" outlineLevel="0" collapsed="false">
      <c r="A9" s="35" t="str">
        <f aca="false">INPUTS!A76</f>
        <v>Wrapper</v>
      </c>
      <c r="B9" s="36" t="n">
        <f aca="false">INPUTS!B76</f>
        <v>1</v>
      </c>
      <c r="C9" s="37" t="n">
        <f aca="false">INPUTS!C76</f>
        <v>0.08</v>
      </c>
      <c r="D9" s="37" t="n">
        <f aca="false">INPUTS!D76</f>
        <v>0.061</v>
      </c>
      <c r="E9" s="37" t="n">
        <f aca="false">INPUTS!E76</f>
        <v>0.05</v>
      </c>
      <c r="F9" s="38" t="n">
        <f aca="false">B9*C9</f>
        <v>0.08</v>
      </c>
      <c r="G9" s="38" t="n">
        <f aca="false">B9*D9</f>
        <v>0.061</v>
      </c>
      <c r="H9" s="38" t="n">
        <f aca="false">B9*E9</f>
        <v>0.05</v>
      </c>
    </row>
    <row r="10" customFormat="false" ht="15" hidden="false" customHeight="true" outlineLevel="0" collapsed="false">
      <c r="A10" s="35" t="str">
        <f aca="false">INPUTS!A77</f>
        <v>Outer Box</v>
      </c>
      <c r="B10" s="36" t="n">
        <f aca="false">INPUTS!B77</f>
        <v>0.083</v>
      </c>
      <c r="C10" s="37" t="n">
        <f aca="false">INPUTS!C77</f>
        <v>0.36</v>
      </c>
      <c r="D10" s="37" t="n">
        <f aca="false">INPUTS!D77</f>
        <v>0.3</v>
      </c>
      <c r="E10" s="37" t="n">
        <f aca="false">INPUTS!E77</f>
        <v>0.24</v>
      </c>
      <c r="F10" s="38" t="n">
        <f aca="false">B10*C10</f>
        <v>0.02988</v>
      </c>
      <c r="G10" s="38" t="n">
        <f aca="false">B10*D10</f>
        <v>0.0249</v>
      </c>
      <c r="H10" s="38" t="n">
        <f aca="false">B10*E10</f>
        <v>0.01992</v>
      </c>
    </row>
    <row r="11" customFormat="false" ht="15" hidden="false" customHeight="true" outlineLevel="0" collapsed="false">
      <c r="A11" s="35" t="str">
        <f aca="false">INPUTS!A78</f>
        <v>Whey Protein</v>
      </c>
      <c r="B11" s="36" t="n">
        <f aca="false">INPUTS!B78</f>
        <v>0.022</v>
      </c>
      <c r="C11" s="37" t="n">
        <f aca="false">INPUTS!C78</f>
        <v>10</v>
      </c>
      <c r="D11" s="37" t="n">
        <f aca="false">INPUTS!D78</f>
        <v>9</v>
      </c>
      <c r="E11" s="37" t="n">
        <f aca="false">INPUTS!E78</f>
        <v>8</v>
      </c>
      <c r="F11" s="38" t="n">
        <f aca="false">B11*C11</f>
        <v>0.22</v>
      </c>
      <c r="G11" s="38" t="n">
        <f aca="false">B11*D11</f>
        <v>0.198</v>
      </c>
      <c r="H11" s="38" t="n">
        <f aca="false">B11*E11</f>
        <v>0.176</v>
      </c>
    </row>
    <row r="12" customFormat="false" ht="15" hidden="false" customHeight="true" outlineLevel="0" collapsed="false">
      <c r="A12" s="35" t="str">
        <f aca="false">INPUTS!A79</f>
        <v>Milk Protein Isolate</v>
      </c>
      <c r="B12" s="36" t="n">
        <f aca="false">INPUTS!B79</f>
        <v>0.011</v>
      </c>
      <c r="C12" s="37" t="n">
        <f aca="false">INPUTS!C79</f>
        <v>10</v>
      </c>
      <c r="D12" s="37" t="n">
        <f aca="false">INPUTS!D79</f>
        <v>9</v>
      </c>
      <c r="E12" s="37" t="n">
        <f aca="false">INPUTS!E79</f>
        <v>8</v>
      </c>
      <c r="F12" s="38" t="n">
        <f aca="false">B12*C12</f>
        <v>0.11</v>
      </c>
      <c r="G12" s="38" t="n">
        <f aca="false">B12*D12</f>
        <v>0.099</v>
      </c>
      <c r="H12" s="38" t="n">
        <f aca="false">B12*E12</f>
        <v>0.088</v>
      </c>
    </row>
    <row r="13" customFormat="false" ht="15" hidden="false" customHeight="true" outlineLevel="0" collapsed="false">
      <c r="A13" s="35" t="str">
        <f aca="false">INPUTS!A80</f>
        <v>Monch Fiber</v>
      </c>
      <c r="B13" s="36" t="n">
        <f aca="false">INPUTS!B80</f>
        <v>0.02</v>
      </c>
      <c r="C13" s="37" t="n">
        <f aca="false">INPUTS!C80</f>
        <v>5</v>
      </c>
      <c r="D13" s="37" t="n">
        <f aca="false">INPUTS!D80</f>
        <v>4</v>
      </c>
      <c r="E13" s="37" t="n">
        <f aca="false">INPUTS!E80</f>
        <v>3.25</v>
      </c>
      <c r="F13" s="38" t="n">
        <f aca="false">B13*C13</f>
        <v>0.1</v>
      </c>
      <c r="G13" s="38" t="n">
        <f aca="false">B13*D13</f>
        <v>0.08</v>
      </c>
      <c r="H13" s="38" t="n">
        <f aca="false">B13*E13</f>
        <v>0.065</v>
      </c>
    </row>
    <row r="14" customFormat="false" ht="15" hidden="false" customHeight="true" outlineLevel="0" collapsed="false">
      <c r="A14" s="35" t="str">
        <f aca="false">INPUTS!A81</f>
        <v>IMO</v>
      </c>
      <c r="B14" s="36" t="n">
        <f aca="false">INPUTS!B81</f>
        <v>0.011</v>
      </c>
      <c r="C14" s="37" t="n">
        <f aca="false">INPUTS!C81</f>
        <v>5</v>
      </c>
      <c r="D14" s="37" t="n">
        <f aca="false">INPUTS!D81</f>
        <v>4.5</v>
      </c>
      <c r="E14" s="37" t="n">
        <f aca="false">INPUTS!E81</f>
        <v>4</v>
      </c>
      <c r="F14" s="38" t="n">
        <f aca="false">B14*C14</f>
        <v>0.055</v>
      </c>
      <c r="G14" s="38" t="n">
        <f aca="false">B14*D14</f>
        <v>0.0495</v>
      </c>
      <c r="H14" s="38" t="n">
        <f aca="false">B14*E14</f>
        <v>0.044</v>
      </c>
    </row>
    <row r="15" customFormat="false" ht="15" hidden="false" customHeight="true" outlineLevel="0" collapsed="false">
      <c r="A15" s="35" t="str">
        <f aca="false">INPUTS!A82</f>
        <v>Vegetable Glycerin</v>
      </c>
      <c r="B15" s="36" t="n">
        <f aca="false">INPUTS!B82</f>
        <v>0.009</v>
      </c>
      <c r="C15" s="37" t="n">
        <f aca="false">INPUTS!C82</f>
        <v>2.5</v>
      </c>
      <c r="D15" s="37" t="n">
        <f aca="false">INPUTS!D82</f>
        <v>2.25</v>
      </c>
      <c r="E15" s="37" t="n">
        <f aca="false">INPUTS!E82</f>
        <v>2</v>
      </c>
      <c r="F15" s="38" t="n">
        <f aca="false">B15*C15</f>
        <v>0.0225</v>
      </c>
      <c r="G15" s="38" t="n">
        <f aca="false">B15*D15</f>
        <v>0.02025</v>
      </c>
      <c r="H15" s="38" t="n">
        <f aca="false">B15*E15</f>
        <v>0.018</v>
      </c>
    </row>
    <row r="16" customFormat="false" ht="15" hidden="false" customHeight="true" outlineLevel="0" collapsed="false">
      <c r="A16" s="35" t="str">
        <f aca="false">INPUTS!A83</f>
        <v>Cocoa Butter</v>
      </c>
      <c r="B16" s="36" t="n">
        <f aca="false">INPUTS!B83</f>
        <v>0.009</v>
      </c>
      <c r="C16" s="37" t="n">
        <f aca="false">INPUTS!C83</f>
        <v>10</v>
      </c>
      <c r="D16" s="37" t="n">
        <f aca="false">INPUTS!D83</f>
        <v>9</v>
      </c>
      <c r="E16" s="37" t="n">
        <f aca="false">INPUTS!E83</f>
        <v>8</v>
      </c>
      <c r="F16" s="38" t="n">
        <f aca="false">B16*C16</f>
        <v>0.09</v>
      </c>
      <c r="G16" s="38" t="n">
        <f aca="false">B16*D16</f>
        <v>0.081</v>
      </c>
      <c r="H16" s="38" t="n">
        <f aca="false">B16*E16</f>
        <v>0.072</v>
      </c>
    </row>
    <row r="17" customFormat="false" ht="15" hidden="false" customHeight="true" outlineLevel="0" collapsed="false">
      <c r="A17" s="35" t="str">
        <f aca="false">INPUTS!A84</f>
        <v>Sunflower Lecithin</v>
      </c>
      <c r="B17" s="36" t="n">
        <f aca="false">INPUTS!B84</f>
        <v>0.0007</v>
      </c>
      <c r="C17" s="37" t="n">
        <f aca="false">INPUTS!C84</f>
        <v>6</v>
      </c>
      <c r="D17" s="37" t="n">
        <f aca="false">INPUTS!D84</f>
        <v>5.5</v>
      </c>
      <c r="E17" s="37" t="n">
        <f aca="false">INPUTS!E84</f>
        <v>5</v>
      </c>
      <c r="F17" s="38" t="n">
        <f aca="false">B17*C17</f>
        <v>0.0042</v>
      </c>
      <c r="G17" s="38" t="n">
        <f aca="false">B17*D17</f>
        <v>0.00385</v>
      </c>
      <c r="H17" s="38" t="n">
        <f aca="false">B17*E17</f>
        <v>0.0035</v>
      </c>
    </row>
    <row r="18" customFormat="false" ht="15" hidden="false" customHeight="true" outlineLevel="0" collapsed="false">
      <c r="A18" s="35" t="str">
        <f aca="false">INPUTS!A85</f>
        <v>Stevia Reb M</v>
      </c>
      <c r="B18" s="36" t="n">
        <f aca="false">INPUTS!B85</f>
        <v>0.0007</v>
      </c>
      <c r="C18" s="37" t="n">
        <f aca="false">INPUTS!C85</f>
        <v>2.4</v>
      </c>
      <c r="D18" s="37" t="n">
        <f aca="false">INPUTS!D85</f>
        <v>2</v>
      </c>
      <c r="E18" s="37" t="n">
        <f aca="false">INPUTS!E85</f>
        <v>1.6</v>
      </c>
      <c r="F18" s="38" t="n">
        <f aca="false">B18*C18</f>
        <v>0.00168</v>
      </c>
      <c r="G18" s="38" t="n">
        <f aca="false">B18*D18</f>
        <v>0.0014</v>
      </c>
      <c r="H18" s="38" t="n">
        <f aca="false">B18*E18</f>
        <v>0.00112</v>
      </c>
    </row>
    <row r="19" customFormat="false" ht="15" hidden="false" customHeight="true" outlineLevel="0" collapsed="false">
      <c r="A19" s="35" t="str">
        <f aca="false">INPUTS!A86</f>
        <v>Salt</v>
      </c>
      <c r="B19" s="36" t="n">
        <f aca="false">INPUTS!B86</f>
        <v>0.0007</v>
      </c>
      <c r="C19" s="37" t="n">
        <f aca="false">INPUTS!C86</f>
        <v>0.5</v>
      </c>
      <c r="D19" s="37" t="n">
        <f aca="false">INPUTS!D86</f>
        <v>0.4</v>
      </c>
      <c r="E19" s="37" t="n">
        <f aca="false">INPUTS!E86</f>
        <v>0.33</v>
      </c>
      <c r="F19" s="38" t="n">
        <f aca="false">B19*C19</f>
        <v>0.00035</v>
      </c>
      <c r="G19" s="38" t="n">
        <f aca="false">B19*D19</f>
        <v>0.00028</v>
      </c>
      <c r="H19" s="38" t="n">
        <f aca="false">B19*E19</f>
        <v>0.000231</v>
      </c>
    </row>
    <row r="20" customFormat="false" ht="15" hidden="false" customHeight="true" outlineLevel="0" collapsed="false">
      <c r="A20" s="35" t="str">
        <f aca="false">INPUTS!A87</f>
        <v>Cocoa Soy Crisp</v>
      </c>
      <c r="B20" s="36" t="n">
        <f aca="false">INPUTS!B87</f>
        <v>0.013</v>
      </c>
      <c r="C20" s="37" t="n">
        <f aca="false">INPUTS!C87</f>
        <v>4</v>
      </c>
      <c r="D20" s="37" t="n">
        <f aca="false">INPUTS!D87</f>
        <v>3.5</v>
      </c>
      <c r="E20" s="37" t="n">
        <f aca="false">INPUTS!E87</f>
        <v>3</v>
      </c>
      <c r="F20" s="38" t="n">
        <f aca="false">B20*C20</f>
        <v>0.052</v>
      </c>
      <c r="G20" s="38" t="n">
        <f aca="false">B20*D20</f>
        <v>0.0455</v>
      </c>
      <c r="H20" s="38" t="n">
        <f aca="false">B20*E20</f>
        <v>0.039</v>
      </c>
    </row>
    <row r="21" customFormat="false" ht="15.75" hidden="false" customHeight="true" outlineLevel="0" collapsed="false">
      <c r="A21" s="39" t="s">
        <v>276</v>
      </c>
      <c r="F21" s="40" t="n">
        <f aca="false">SUM(F7:F20)</f>
        <v>0.77511</v>
      </c>
      <c r="G21" s="40" t="n">
        <f aca="false">SUM(G7:G20)</f>
        <v>0.672943</v>
      </c>
      <c r="H21" s="40" t="n">
        <f aca="false">SUM(H7:H20)</f>
        <v>0.583896</v>
      </c>
    </row>
    <row r="22" customFormat="false" ht="15.75" hidden="false" customHeight="true" outlineLevel="0" collapsed="false"/>
    <row r="23" customFormat="false" ht="18" hidden="false" customHeight="true" outlineLevel="0" collapsed="false">
      <c r="A23" s="6" t="s">
        <v>277</v>
      </c>
      <c r="B23" s="7"/>
      <c r="C23" s="7"/>
      <c r="D23" s="7"/>
      <c r="E23" s="7"/>
      <c r="F23" s="7"/>
      <c r="G23" s="7"/>
      <c r="H23" s="7"/>
    </row>
    <row r="24" customFormat="false" ht="15.75" hidden="false" customHeight="true" outlineLevel="0" collapsed="false">
      <c r="A24" s="8" t="s">
        <v>160</v>
      </c>
      <c r="B24" s="8" t="s">
        <v>272</v>
      </c>
      <c r="C24" s="8" t="s">
        <v>162</v>
      </c>
      <c r="D24" s="8" t="s">
        <v>163</v>
      </c>
      <c r="E24" s="8" t="s">
        <v>164</v>
      </c>
      <c r="F24" s="8" t="s">
        <v>273</v>
      </c>
      <c r="G24" s="8" t="s">
        <v>274</v>
      </c>
      <c r="H24" s="8" t="s">
        <v>275</v>
      </c>
    </row>
    <row r="25" customFormat="false" ht="15.75" hidden="false" customHeight="true" outlineLevel="0" collapsed="false">
      <c r="A25" s="35" t="str">
        <f aca="false">INPUTS!A91</f>
        <v>Ascorbic Acid</v>
      </c>
      <c r="B25" s="36" t="n">
        <f aca="false">INPUTS!B91</f>
        <v>0.015</v>
      </c>
      <c r="C25" s="37" t="n">
        <f aca="false">INPUTS!C91</f>
        <v>6.67</v>
      </c>
      <c r="D25" s="37" t="n">
        <f aca="false">INPUTS!D91</f>
        <v>5.5</v>
      </c>
      <c r="E25" s="37" t="n">
        <f aca="false">INPUTS!E91</f>
        <v>4.5</v>
      </c>
      <c r="F25" s="38" t="n">
        <f aca="false">B25*C25</f>
        <v>0.10005</v>
      </c>
      <c r="G25" s="38" t="n">
        <f aca="false">B25*D25</f>
        <v>0.0825</v>
      </c>
      <c r="H25" s="38" t="n">
        <f aca="false">B25*E25</f>
        <v>0.0675</v>
      </c>
    </row>
    <row r="26" customFormat="false" ht="15.75" hidden="false" customHeight="true" outlineLevel="0" collapsed="false">
      <c r="A26" s="35" t="str">
        <f aca="false">INPUTS!A92</f>
        <v>Monch Fiber</v>
      </c>
      <c r="B26" s="36" t="n">
        <f aca="false">INPUTS!B92</f>
        <v>0.008</v>
      </c>
      <c r="C26" s="37" t="n">
        <f aca="false">INPUTS!C92</f>
        <v>5</v>
      </c>
      <c r="D26" s="37" t="n">
        <f aca="false">INPUTS!D92</f>
        <v>4</v>
      </c>
      <c r="E26" s="37" t="n">
        <f aca="false">INPUTS!E92</f>
        <v>3.25</v>
      </c>
      <c r="F26" s="38" t="n">
        <f aca="false">B26*C26</f>
        <v>0.04</v>
      </c>
      <c r="G26" s="38" t="n">
        <f aca="false">B26*D26</f>
        <v>0.032</v>
      </c>
      <c r="H26" s="38" t="n">
        <f aca="false">B26*E26</f>
        <v>0.026</v>
      </c>
    </row>
    <row r="27" customFormat="false" ht="15.75" hidden="false" customHeight="true" outlineLevel="0" collapsed="false">
      <c r="A27" s="35" t="str">
        <f aca="false">INPUTS!A93</f>
        <v>Citric Acid</v>
      </c>
      <c r="B27" s="36" t="n">
        <f aca="false">INPUTS!B93</f>
        <v>0.005</v>
      </c>
      <c r="C27" s="37" t="n">
        <f aca="false">INPUTS!C93</f>
        <v>6</v>
      </c>
      <c r="D27" s="37" t="n">
        <f aca="false">INPUTS!D93</f>
        <v>5</v>
      </c>
      <c r="E27" s="37" t="n">
        <f aca="false">INPUTS!E93</f>
        <v>4</v>
      </c>
      <c r="F27" s="38" t="n">
        <f aca="false">B27*C27</f>
        <v>0.03</v>
      </c>
      <c r="G27" s="38" t="n">
        <f aca="false">B27*D27</f>
        <v>0.025</v>
      </c>
      <c r="H27" s="38" t="n">
        <f aca="false">B27*E27</f>
        <v>0.02</v>
      </c>
    </row>
    <row r="28" customFormat="false" ht="15.75" hidden="false" customHeight="true" outlineLevel="0" collapsed="false">
      <c r="A28" s="35" t="str">
        <f aca="false">INPUTS!A94</f>
        <v>Salt</v>
      </c>
      <c r="B28" s="36" t="n">
        <f aca="false">INPUTS!B94</f>
        <v>0.003</v>
      </c>
      <c r="C28" s="37" t="n">
        <f aca="false">INPUTS!C94</f>
        <v>0.5</v>
      </c>
      <c r="D28" s="37" t="n">
        <f aca="false">INPUTS!D94</f>
        <v>0.4</v>
      </c>
      <c r="E28" s="37" t="n">
        <f aca="false">INPUTS!E94</f>
        <v>0.33</v>
      </c>
      <c r="F28" s="38" t="n">
        <f aca="false">B28*C28</f>
        <v>0.0015</v>
      </c>
      <c r="G28" s="38" t="n">
        <f aca="false">B28*D28</f>
        <v>0.0012</v>
      </c>
      <c r="H28" s="38" t="n">
        <f aca="false">B28*E28</f>
        <v>0.00099</v>
      </c>
    </row>
    <row r="29" customFormat="false" ht="15.75" hidden="false" customHeight="true" outlineLevel="0" collapsed="false">
      <c r="A29" s="35" t="str">
        <f aca="false">INPUTS!A95</f>
        <v>Potassium Cl</v>
      </c>
      <c r="B29" s="36" t="n">
        <f aca="false">INPUTS!B95</f>
        <v>0.005</v>
      </c>
      <c r="C29" s="37" t="n">
        <f aca="false">INPUTS!C95</f>
        <v>4</v>
      </c>
      <c r="D29" s="37" t="n">
        <f aca="false">INPUTS!D95</f>
        <v>3.5</v>
      </c>
      <c r="E29" s="37" t="n">
        <f aca="false">INPUTS!E95</f>
        <v>3</v>
      </c>
      <c r="F29" s="38" t="n">
        <f aca="false">B29*C29</f>
        <v>0.02</v>
      </c>
      <c r="G29" s="38" t="n">
        <f aca="false">B29*D29</f>
        <v>0.0175</v>
      </c>
      <c r="H29" s="38" t="n">
        <f aca="false">B29*E29</f>
        <v>0.015</v>
      </c>
    </row>
    <row r="30" customFormat="false" ht="15.75" hidden="false" customHeight="true" outlineLevel="0" collapsed="false">
      <c r="A30" s="35" t="str">
        <f aca="false">INPUTS!A96</f>
        <v>Magnesium Malate</v>
      </c>
      <c r="B30" s="36" t="n">
        <f aca="false">INPUTS!B96</f>
        <v>0.008</v>
      </c>
      <c r="C30" s="37" t="n">
        <f aca="false">INPUTS!C96</f>
        <v>5</v>
      </c>
      <c r="D30" s="37" t="n">
        <f aca="false">INPUTS!D96</f>
        <v>4.25</v>
      </c>
      <c r="E30" s="37" t="n">
        <f aca="false">INPUTS!E96</f>
        <v>3.5</v>
      </c>
      <c r="F30" s="38" t="n">
        <f aca="false">B30*C30</f>
        <v>0.04</v>
      </c>
      <c r="G30" s="38" t="n">
        <f aca="false">B30*D30</f>
        <v>0.034</v>
      </c>
      <c r="H30" s="38" t="n">
        <f aca="false">B30*E30</f>
        <v>0.028</v>
      </c>
    </row>
    <row r="31" customFormat="false" ht="15.75" hidden="false" customHeight="true" outlineLevel="0" collapsed="false">
      <c r="A31" s="35" t="str">
        <f aca="false">INPUTS!A97</f>
        <v>Purified Stevia</v>
      </c>
      <c r="B31" s="36" t="n">
        <f aca="false">INPUTS!B97</f>
        <v>0.003</v>
      </c>
      <c r="C31" s="37" t="n">
        <f aca="false">INPUTS!C97</f>
        <v>1.33</v>
      </c>
      <c r="D31" s="37" t="n">
        <f aca="false">INPUTS!D97</f>
        <v>1</v>
      </c>
      <c r="E31" s="37" t="n">
        <f aca="false">INPUTS!E97</f>
        <v>0.83</v>
      </c>
      <c r="F31" s="38" t="n">
        <f aca="false">B31*C31</f>
        <v>0.00399</v>
      </c>
      <c r="G31" s="38" t="n">
        <f aca="false">B31*D31</f>
        <v>0.003</v>
      </c>
      <c r="H31" s="38" t="n">
        <f aca="false">B31*E31</f>
        <v>0.00249</v>
      </c>
    </row>
    <row r="32" customFormat="false" ht="15.75" hidden="false" customHeight="true" outlineLevel="0" collapsed="false">
      <c r="A32" s="35" t="str">
        <f aca="false">INPUTS!A98</f>
        <v>Flavoring</v>
      </c>
      <c r="B32" s="36" t="n">
        <f aca="false">INPUTS!B98</f>
        <v>0.01</v>
      </c>
      <c r="C32" s="37" t="n">
        <f aca="false">INPUTS!C98</f>
        <v>4</v>
      </c>
      <c r="D32" s="37" t="n">
        <f aca="false">INPUTS!D98</f>
        <v>3.5</v>
      </c>
      <c r="E32" s="37" t="n">
        <f aca="false">INPUTS!E98</f>
        <v>3</v>
      </c>
      <c r="F32" s="38" t="n">
        <f aca="false">B32*C32</f>
        <v>0.04</v>
      </c>
      <c r="G32" s="38" t="n">
        <f aca="false">B32*D32</f>
        <v>0.035</v>
      </c>
      <c r="H32" s="38" t="n">
        <f aca="false">B32*E32</f>
        <v>0.03</v>
      </c>
    </row>
    <row r="33" customFormat="false" ht="15.75" hidden="false" customHeight="true" outlineLevel="0" collapsed="false">
      <c r="A33" s="35" t="str">
        <f aca="false">INPUTS!A99</f>
        <v>Sachet Pkg</v>
      </c>
      <c r="B33" s="36" t="n">
        <f aca="false">INPUTS!B99</f>
        <v>1</v>
      </c>
      <c r="C33" s="37" t="n">
        <f aca="false">INPUTS!C99</f>
        <v>0.05</v>
      </c>
      <c r="D33" s="37" t="n">
        <f aca="false">INPUTS!D99</f>
        <v>0.04</v>
      </c>
      <c r="E33" s="37" t="n">
        <f aca="false">INPUTS!E99</f>
        <v>0.03</v>
      </c>
      <c r="F33" s="38" t="n">
        <f aca="false">B33*C33</f>
        <v>0.05</v>
      </c>
      <c r="G33" s="38" t="n">
        <f aca="false">B33*D33</f>
        <v>0.04</v>
      </c>
      <c r="H33" s="38" t="n">
        <f aca="false">B33*E33</f>
        <v>0.03</v>
      </c>
    </row>
    <row r="34" customFormat="false" ht="15.75" hidden="false" customHeight="true" outlineLevel="0" collapsed="false">
      <c r="A34" s="39" t="s">
        <v>278</v>
      </c>
      <c r="F34" s="40" t="n">
        <f aca="false">SUM(F25:F33)</f>
        <v>0.32554</v>
      </c>
      <c r="G34" s="40" t="n">
        <f aca="false">SUM(G25:G33)</f>
        <v>0.2702</v>
      </c>
      <c r="H34" s="40" t="n">
        <f aca="false">SUM(H25:H33)</f>
        <v>0.21998</v>
      </c>
    </row>
    <row r="35" customFormat="false" ht="15.75" hidden="false" customHeight="true" outlineLevel="0" collapsed="false"/>
    <row r="36" customFormat="false" ht="18" hidden="false" customHeight="true" outlineLevel="0" collapsed="false">
      <c r="A36" s="6" t="s">
        <v>279</v>
      </c>
      <c r="B36" s="7"/>
      <c r="C36" s="7"/>
      <c r="D36" s="7"/>
      <c r="E36" s="7"/>
      <c r="F36" s="7"/>
      <c r="G36" s="7"/>
      <c r="H36" s="7"/>
    </row>
    <row r="37" customFormat="false" ht="15.75" hidden="false" customHeight="true" outlineLevel="0" collapsed="false">
      <c r="A37" s="8" t="s">
        <v>280</v>
      </c>
      <c r="B37" s="8" t="s">
        <v>281</v>
      </c>
      <c r="C37" s="8"/>
      <c r="D37" s="8"/>
      <c r="E37" s="8"/>
      <c r="F37" s="8"/>
      <c r="G37" s="8"/>
      <c r="H37" s="8" t="s">
        <v>63</v>
      </c>
    </row>
    <row r="38" customFormat="false" ht="15.75" hidden="false" customHeight="true" outlineLevel="0" collapsed="false">
      <c r="A38" s="9" t="s">
        <v>282</v>
      </c>
      <c r="B38" s="41" t="n">
        <f aca="false">SUMPRODUCT(INPUTS!F74:F87,INPUTS!C74:C87)</f>
        <v>7925</v>
      </c>
      <c r="H38" s="11" t="s">
        <v>283</v>
      </c>
    </row>
    <row r="39" customFormat="false" ht="15.75" hidden="false" customHeight="true" outlineLevel="0" collapsed="false">
      <c r="A39" s="9" t="s">
        <v>284</v>
      </c>
      <c r="B39" s="41" t="n">
        <f aca="false">SUMPRODUCT(INPUTS!F91:F99,INPUTS!C91:C99)</f>
        <v>2150</v>
      </c>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customHeight="true" zeroHeight="false" outlineLevelRow="0" outlineLevelCol="0"/>
  <cols>
    <col collapsed="false" customWidth="true" hidden="false" outlineLevel="0" max="1" min="1" style="1" width="42.57"/>
    <col collapsed="false" customWidth="true" hidden="false" outlineLevel="0" max="2" min="2" style="1" width="16"/>
    <col collapsed="false" customWidth="true" hidden="false" outlineLevel="0" max="10" min="3" style="1" width="14"/>
    <col collapsed="false" customWidth="true" hidden="false" outlineLevel="0" max="11" min="11" style="1" width="18"/>
    <col collapsed="false" customWidth="true" hidden="false" outlineLevel="0" max="26" min="12" style="1" width="8.71"/>
  </cols>
  <sheetData>
    <row r="1" customFormat="false" ht="21.75" hidden="false" customHeight="true" outlineLevel="0" collapsed="false">
      <c r="A1" s="2" t="s">
        <v>285</v>
      </c>
    </row>
    <row r="3" customFormat="false" ht="32.25" hidden="false" customHeight="true" outlineLevel="0" collapsed="false">
      <c r="A3" s="11" t="s">
        <v>286</v>
      </c>
    </row>
    <row r="5" customFormat="false" ht="18" hidden="false" customHeight="true" outlineLevel="0" collapsed="false">
      <c r="A5" s="6" t="s">
        <v>287</v>
      </c>
      <c r="B5" s="7"/>
      <c r="C5" s="7"/>
      <c r="D5" s="7"/>
      <c r="E5" s="7"/>
      <c r="F5" s="7"/>
      <c r="G5" s="7"/>
      <c r="H5" s="7"/>
      <c r="I5" s="7"/>
      <c r="J5" s="7"/>
      <c r="K5" s="7"/>
    </row>
    <row r="6" customFormat="false" ht="15" hidden="false" customHeight="true" outlineLevel="0" collapsed="false">
      <c r="A6" s="8" t="s">
        <v>288</v>
      </c>
      <c r="B6" s="8" t="s">
        <v>127</v>
      </c>
      <c r="C6" s="8" t="s">
        <v>289</v>
      </c>
      <c r="D6" s="8" t="s">
        <v>290</v>
      </c>
      <c r="E6" s="8" t="s">
        <v>291</v>
      </c>
      <c r="F6" s="8" t="s">
        <v>292</v>
      </c>
      <c r="G6" s="8" t="s">
        <v>293</v>
      </c>
      <c r="H6" s="8" t="s">
        <v>294</v>
      </c>
      <c r="I6" s="8" t="s">
        <v>295</v>
      </c>
      <c r="J6" s="8"/>
      <c r="K6" s="8" t="s">
        <v>296</v>
      </c>
    </row>
    <row r="7" customFormat="false" ht="15" hidden="false" customHeight="true" outlineLevel="0" collapsed="false">
      <c r="A7" s="42" t="n">
        <f aca="false">INPUTS!A51</f>
        <v>1</v>
      </c>
      <c r="B7" s="35" t="str">
        <f aca="false">INPUTS!B51</f>
        <v>1–999</v>
      </c>
      <c r="C7" s="42" t="n">
        <f aca="false">INPUTS!D51</f>
        <v>500</v>
      </c>
      <c r="D7" s="37" t="n">
        <f aca="false">IF(A7&lt;=2,CALC_RM!$F$21,IF(A7&lt;=4,CALC_RM!$G$21,CALC_RM!$H$21))</f>
        <v>0.77511</v>
      </c>
      <c r="E7" s="37" t="n">
        <f aca="false">(INPUTS!$B$22/C7)*INPUTS!G51</f>
        <v>1.864</v>
      </c>
      <c r="F7" s="43" t="n">
        <f aca="false">INPUTS!$B$25/C7</f>
        <v>10</v>
      </c>
      <c r="G7" s="37" t="n">
        <f aca="false">INPUTS!E51</f>
        <v>1.35</v>
      </c>
      <c r="H7" s="27" t="n">
        <v>0</v>
      </c>
      <c r="I7" s="44" t="n">
        <f aca="false">D7+E7+F7+G7+H7</f>
        <v>13.98911</v>
      </c>
      <c r="K7" s="44" t="n">
        <f aca="false">D7+E7+G7+H7</f>
        <v>3.98911</v>
      </c>
    </row>
    <row r="8" customFormat="false" ht="15" hidden="false" customHeight="true" outlineLevel="0" collapsed="false">
      <c r="A8" s="42" t="n">
        <f aca="false">INPUTS!A52</f>
        <v>2</v>
      </c>
      <c r="B8" s="35" t="str">
        <f aca="false">INPUTS!B52</f>
        <v>1K–10K</v>
      </c>
      <c r="C8" s="42" t="n">
        <f aca="false">INPUTS!D52</f>
        <v>5000</v>
      </c>
      <c r="D8" s="37" t="n">
        <f aca="false">IF(A8&lt;=2,CALC_RM!$F$21,IF(A8&lt;=4,CALC_RM!$G$21,CALC_RM!$H$21))</f>
        <v>0.77511</v>
      </c>
      <c r="E8" s="37" t="n">
        <f aca="false">(INPUTS!$B$22/C8)*INPUTS!G52</f>
        <v>0.1398</v>
      </c>
      <c r="F8" s="43" t="n">
        <f aca="false">INPUTS!$B$25/C8</f>
        <v>1</v>
      </c>
      <c r="G8" s="37" t="n">
        <f aca="false">INPUTS!E52</f>
        <v>1.2</v>
      </c>
      <c r="H8" s="27" t="n">
        <v>0</v>
      </c>
      <c r="I8" s="44" t="n">
        <f aca="false">D8+E8+F8+G8+H8</f>
        <v>3.11491</v>
      </c>
      <c r="K8" s="44" t="n">
        <f aca="false">D8+E8+G8+H8</f>
        <v>2.11491</v>
      </c>
    </row>
    <row r="9" customFormat="false" ht="15" hidden="false" customHeight="true" outlineLevel="0" collapsed="false">
      <c r="A9" s="42" t="n">
        <f aca="false">INPUTS!A53</f>
        <v>3</v>
      </c>
      <c r="B9" s="35" t="str">
        <f aca="false">INPUTS!B53</f>
        <v>10K–100K</v>
      </c>
      <c r="C9" s="42" t="n">
        <f aca="false">INPUTS!D53</f>
        <v>50000</v>
      </c>
      <c r="D9" s="37" t="n">
        <f aca="false">IF(A9&lt;=2,CALC_RM!$F$21,IF(A9&lt;=4,CALC_RM!$G$21,CALC_RM!$H$21))</f>
        <v>0.672943</v>
      </c>
      <c r="E9" s="37" t="n">
        <f aca="false">(INPUTS!$B$22/C9)*INPUTS!G53</f>
        <v>0.00932</v>
      </c>
      <c r="F9" s="43" t="n">
        <f aca="false">INPUTS!$B$25/C9</f>
        <v>0.1</v>
      </c>
      <c r="G9" s="37" t="n">
        <f aca="false">INPUTS!E53</f>
        <v>1.1</v>
      </c>
      <c r="H9" s="27" t="n">
        <v>0</v>
      </c>
      <c r="I9" s="44" t="n">
        <f aca="false">D9+E9+F9+G9+H9</f>
        <v>1.882263</v>
      </c>
      <c r="K9" s="44" t="n">
        <f aca="false">D9+E9+G9+H9</f>
        <v>1.782263</v>
      </c>
    </row>
    <row r="10" customFormat="false" ht="15" hidden="false" customHeight="true" outlineLevel="0" collapsed="false">
      <c r="A10" s="42" t="n">
        <f aca="false">INPUTS!A54</f>
        <v>4</v>
      </c>
      <c r="B10" s="35" t="str">
        <f aca="false">INPUTS!B54</f>
        <v>100K–500K</v>
      </c>
      <c r="C10" s="42" t="n">
        <f aca="false">INPUTS!D54</f>
        <v>250000</v>
      </c>
      <c r="D10" s="37" t="n">
        <f aca="false">IF(A10&lt;=2,CALC_RM!$F$21,IF(A10&lt;=4,CALC_RM!$G$21,CALC_RM!$H$21))</f>
        <v>0.672943</v>
      </c>
      <c r="E10" s="37" t="n">
        <f aca="false">(INPUTS!$B$22/C10)*INPUTS!G54</f>
        <v>0.0013048</v>
      </c>
      <c r="F10" s="43" t="n">
        <f aca="false">INPUTS!$B$25/C10</f>
        <v>0.02</v>
      </c>
      <c r="G10" s="37" t="n">
        <f aca="false">INPUTS!E54</f>
        <v>1</v>
      </c>
      <c r="H10" s="27" t="n">
        <v>0</v>
      </c>
      <c r="I10" s="44" t="n">
        <f aca="false">D10+E10+F10+G10+H10</f>
        <v>1.6942478</v>
      </c>
      <c r="K10" s="44" t="n">
        <f aca="false">D10+E10+G10+H10</f>
        <v>1.6742478</v>
      </c>
    </row>
    <row r="11" customFormat="false" ht="15" hidden="false" customHeight="true" outlineLevel="0" collapsed="false">
      <c r="A11" s="42" t="n">
        <f aca="false">INPUTS!A55</f>
        <v>5</v>
      </c>
      <c r="B11" s="35" t="str">
        <f aca="false">INPUTS!B55</f>
        <v>500K–1M</v>
      </c>
      <c r="C11" s="42" t="n">
        <f aca="false">INPUTS!D55</f>
        <v>750000</v>
      </c>
      <c r="D11" s="37" t="n">
        <f aca="false">IF(A11&lt;=2,CALC_RM!$F$21,IF(A11&lt;=4,CALC_RM!$G$21,CALC_RM!$H$21))</f>
        <v>0.583896</v>
      </c>
      <c r="E11" s="37" t="n">
        <f aca="false">(INPUTS!$B$22/C11)*INPUTS!G55</f>
        <v>0.000310666666666667</v>
      </c>
      <c r="F11" s="43" t="n">
        <f aca="false">INPUTS!$B$25/C11</f>
        <v>0.00666666666666667</v>
      </c>
      <c r="G11" s="37" t="n">
        <f aca="false">INPUTS!E55</f>
        <v>0.92</v>
      </c>
      <c r="H11" s="27" t="n">
        <v>0</v>
      </c>
      <c r="I11" s="44" t="n">
        <f aca="false">D11+E11+F11+G11+H11</f>
        <v>1.51087333333333</v>
      </c>
      <c r="K11" s="44" t="n">
        <f aca="false">D11+E11+G11+H11</f>
        <v>1.50420666666667</v>
      </c>
    </row>
    <row r="12" customFormat="false" ht="15" hidden="false" customHeight="true" outlineLevel="0" collapsed="false">
      <c r="A12" s="42" t="n">
        <f aca="false">INPUTS!A56</f>
        <v>6</v>
      </c>
      <c r="B12" s="35" t="str">
        <f aca="false">INPUTS!B56</f>
        <v>1M–5M</v>
      </c>
      <c r="C12" s="42" t="n">
        <f aca="false">INPUTS!D56</f>
        <v>2500000</v>
      </c>
      <c r="D12" s="37" t="n">
        <f aca="false">IF(A12&lt;=2,CALC_RM!$F$21,IF(A12&lt;=4,CALC_RM!$G$21,CALC_RM!$H$21))</f>
        <v>0.583896</v>
      </c>
      <c r="E12" s="37" t="n">
        <f aca="false">(INPUTS!$B$22/C12)*INPUTS!G56</f>
        <v>6.7104E-005</v>
      </c>
      <c r="F12" s="43" t="n">
        <f aca="false">INPUTS!$B$25/C12</f>
        <v>0.002</v>
      </c>
      <c r="G12" s="37" t="n">
        <f aca="false">INPUTS!E56</f>
        <v>0.85</v>
      </c>
      <c r="H12" s="27" t="n">
        <v>0</v>
      </c>
      <c r="I12" s="44" t="n">
        <f aca="false">D12+E12+F12+G12+H12</f>
        <v>1.435963104</v>
      </c>
      <c r="K12" s="44" t="n">
        <f aca="false">D12+E12+G12+H12</f>
        <v>1.433963104</v>
      </c>
    </row>
    <row r="13" customFormat="false" ht="15" hidden="false" customHeight="true" outlineLevel="0" collapsed="false">
      <c r="A13" s="42" t="n">
        <f aca="false">INPUTS!A57</f>
        <v>7</v>
      </c>
      <c r="B13" s="35" t="str">
        <f aca="false">INPUTS!B57</f>
        <v>5M+</v>
      </c>
      <c r="C13" s="42" t="n">
        <f aca="false">INPUTS!D57</f>
        <v>7500000</v>
      </c>
      <c r="D13" s="37" t="n">
        <f aca="false">IF(A13&lt;=2,CALC_RM!$F$21,IF(A13&lt;=4,CALC_RM!$G$21,CALC_RM!$H$21))</f>
        <v>0.583896</v>
      </c>
      <c r="E13" s="37" t="n">
        <f aca="false">(INPUTS!$B$22/C13)*INPUTS!G57</f>
        <v>1.4912E-005</v>
      </c>
      <c r="F13" s="43" t="n">
        <f aca="false">INPUTS!$B$25/C13</f>
        <v>0.000666666666666667</v>
      </c>
      <c r="G13" s="37" t="n">
        <f aca="false">INPUTS!E57</f>
        <v>0.8</v>
      </c>
      <c r="H13" s="27" t="n">
        <v>0</v>
      </c>
      <c r="I13" s="44" t="n">
        <f aca="false">D13+E13+F13+G13+H13</f>
        <v>1.38457757866667</v>
      </c>
      <c r="K13" s="44" t="n">
        <f aca="false">D13+E13+G13+H13</f>
        <v>1.383910912</v>
      </c>
    </row>
    <row r="16" customFormat="false" ht="18" hidden="false" customHeight="true" outlineLevel="0" collapsed="false">
      <c r="A16" s="6" t="s">
        <v>297</v>
      </c>
      <c r="B16" s="7"/>
      <c r="C16" s="7"/>
      <c r="D16" s="7"/>
      <c r="E16" s="7"/>
      <c r="F16" s="7"/>
      <c r="G16" s="7"/>
      <c r="H16" s="7"/>
      <c r="I16" s="7"/>
      <c r="J16" s="7"/>
      <c r="K16" s="7"/>
    </row>
    <row r="17" customFormat="false" ht="15" hidden="false" customHeight="true" outlineLevel="0" collapsed="false">
      <c r="A17" s="8" t="s">
        <v>288</v>
      </c>
      <c r="B17" s="8" t="s">
        <v>127</v>
      </c>
      <c r="C17" s="8" t="s">
        <v>289</v>
      </c>
      <c r="D17" s="8" t="s">
        <v>290</v>
      </c>
      <c r="E17" s="8" t="s">
        <v>291</v>
      </c>
      <c r="F17" s="8" t="s">
        <v>292</v>
      </c>
      <c r="G17" s="8" t="s">
        <v>293</v>
      </c>
      <c r="H17" s="8" t="s">
        <v>294</v>
      </c>
      <c r="I17" s="8" t="s">
        <v>295</v>
      </c>
      <c r="J17" s="8"/>
      <c r="K17" s="8" t="s">
        <v>296</v>
      </c>
    </row>
    <row r="18" customFormat="false" ht="15" hidden="false" customHeight="true" outlineLevel="0" collapsed="false">
      <c r="A18" s="42" t="n">
        <f aca="false">INPUTS!A51</f>
        <v>1</v>
      </c>
      <c r="B18" s="35" t="str">
        <f aca="false">INPUTS!B51</f>
        <v>1–999</v>
      </c>
      <c r="C18" s="42" t="n">
        <f aca="false">INPUTS!D51</f>
        <v>500</v>
      </c>
      <c r="D18" s="37" t="n">
        <f aca="false">IF(A18&lt;=2,CALC_RM!$F$34,IF(A18&lt;=4,CALC_RM!$G$34,CALC_RM!$H$34))</f>
        <v>0.32554</v>
      </c>
      <c r="E18" s="37" t="n">
        <f aca="false">(INPUTS!$B$22/C18)*INPUTS!G51</f>
        <v>1.864</v>
      </c>
      <c r="F18" s="43" t="n">
        <f aca="false">INPUTS!$B$25/C18</f>
        <v>10</v>
      </c>
      <c r="G18" s="37" t="n">
        <f aca="false">INPUTS!F51</f>
        <v>0.45</v>
      </c>
      <c r="H18" s="27" t="n">
        <v>0</v>
      </c>
      <c r="I18" s="44" t="n">
        <f aca="false">D18+E18+F18+G18+H18</f>
        <v>12.63954</v>
      </c>
      <c r="K18" s="44" t="n">
        <f aca="false">D18+E18+G18+H18</f>
        <v>2.63954</v>
      </c>
    </row>
    <row r="19" customFormat="false" ht="15" hidden="false" customHeight="true" outlineLevel="0" collapsed="false">
      <c r="A19" s="42" t="n">
        <f aca="false">INPUTS!A52</f>
        <v>2</v>
      </c>
      <c r="B19" s="35" t="str">
        <f aca="false">INPUTS!B52</f>
        <v>1K–10K</v>
      </c>
      <c r="C19" s="42" t="n">
        <f aca="false">INPUTS!D52</f>
        <v>5000</v>
      </c>
      <c r="D19" s="37" t="n">
        <f aca="false">IF(A19&lt;=2,CALC_RM!$F$34,IF(A19&lt;=4,CALC_RM!$G$34,CALC_RM!$H$34))</f>
        <v>0.32554</v>
      </c>
      <c r="E19" s="37" t="n">
        <f aca="false">(INPUTS!$B$22/C19)*INPUTS!G52</f>
        <v>0.1398</v>
      </c>
      <c r="F19" s="43" t="n">
        <f aca="false">INPUTS!$B$25/C19</f>
        <v>1</v>
      </c>
      <c r="G19" s="37" t="n">
        <f aca="false">INPUTS!F52</f>
        <v>0.4</v>
      </c>
      <c r="H19" s="27" t="n">
        <v>0</v>
      </c>
      <c r="I19" s="44" t="n">
        <f aca="false">D19+E19+F19+G19+H19</f>
        <v>1.86534</v>
      </c>
      <c r="K19" s="44" t="n">
        <f aca="false">D19+E19+G19+H19</f>
        <v>0.86534</v>
      </c>
    </row>
    <row r="20" customFormat="false" ht="15" hidden="false" customHeight="true" outlineLevel="0" collapsed="false">
      <c r="A20" s="42" t="n">
        <f aca="false">INPUTS!A53</f>
        <v>3</v>
      </c>
      <c r="B20" s="35" t="str">
        <f aca="false">INPUTS!B53</f>
        <v>10K–100K</v>
      </c>
      <c r="C20" s="42" t="n">
        <f aca="false">INPUTS!D53</f>
        <v>50000</v>
      </c>
      <c r="D20" s="37" t="n">
        <f aca="false">IF(A20&lt;=2,CALC_RM!$F$34,IF(A20&lt;=4,CALC_RM!$G$34,CALC_RM!$H$34))</f>
        <v>0.2702</v>
      </c>
      <c r="E20" s="37" t="n">
        <f aca="false">(INPUTS!$B$22/C20)*INPUTS!G53</f>
        <v>0.00932</v>
      </c>
      <c r="F20" s="43" t="n">
        <f aca="false">INPUTS!$B$25/C20</f>
        <v>0.1</v>
      </c>
      <c r="G20" s="37" t="n">
        <f aca="false">INPUTS!F53</f>
        <v>0.35</v>
      </c>
      <c r="H20" s="27" t="n">
        <v>0</v>
      </c>
      <c r="I20" s="44" t="n">
        <f aca="false">D20+E20+F20+G20+H20</f>
        <v>0.72952</v>
      </c>
      <c r="K20" s="44" t="n">
        <f aca="false">D20+E20+G20+H20</f>
        <v>0.62952</v>
      </c>
    </row>
    <row r="21" customFormat="false" ht="15.75" hidden="false" customHeight="true" outlineLevel="0" collapsed="false">
      <c r="A21" s="42" t="n">
        <f aca="false">INPUTS!A54</f>
        <v>4</v>
      </c>
      <c r="B21" s="35" t="str">
        <f aca="false">INPUTS!B54</f>
        <v>100K–500K</v>
      </c>
      <c r="C21" s="42" t="n">
        <f aca="false">INPUTS!D54</f>
        <v>250000</v>
      </c>
      <c r="D21" s="37" t="n">
        <f aca="false">IF(A21&lt;=2,CALC_RM!$F$34,IF(A21&lt;=4,CALC_RM!$G$34,CALC_RM!$H$34))</f>
        <v>0.2702</v>
      </c>
      <c r="E21" s="37" t="n">
        <f aca="false">(INPUTS!$B$22/C21)*INPUTS!G54</f>
        <v>0.0013048</v>
      </c>
      <c r="F21" s="43" t="n">
        <f aca="false">INPUTS!$B$25/C21</f>
        <v>0.02</v>
      </c>
      <c r="G21" s="37" t="n">
        <f aca="false">INPUTS!F54</f>
        <v>0.3</v>
      </c>
      <c r="H21" s="27" t="n">
        <v>0</v>
      </c>
      <c r="I21" s="44" t="n">
        <f aca="false">D21+E21+F21+G21+H21</f>
        <v>0.5915048</v>
      </c>
      <c r="K21" s="44" t="n">
        <f aca="false">D21+E21+G21+H21</f>
        <v>0.5715048</v>
      </c>
    </row>
    <row r="22" customFormat="false" ht="15.75" hidden="false" customHeight="true" outlineLevel="0" collapsed="false">
      <c r="A22" s="42" t="n">
        <f aca="false">INPUTS!A55</f>
        <v>5</v>
      </c>
      <c r="B22" s="35" t="str">
        <f aca="false">INPUTS!B55</f>
        <v>500K–1M</v>
      </c>
      <c r="C22" s="42" t="n">
        <f aca="false">INPUTS!D55</f>
        <v>750000</v>
      </c>
      <c r="D22" s="37" t="n">
        <f aca="false">IF(A22&lt;=2,CALC_RM!$F$34,IF(A22&lt;=4,CALC_RM!$G$34,CALC_RM!$H$34))</f>
        <v>0.21998</v>
      </c>
      <c r="E22" s="37" t="n">
        <f aca="false">(INPUTS!$B$22/C22)*INPUTS!G55</f>
        <v>0.000310666666666667</v>
      </c>
      <c r="F22" s="43" t="n">
        <f aca="false">INPUTS!$B$25/C22</f>
        <v>0.00666666666666667</v>
      </c>
      <c r="G22" s="37" t="n">
        <f aca="false">INPUTS!F55</f>
        <v>0.27</v>
      </c>
      <c r="H22" s="27" t="n">
        <v>0</v>
      </c>
      <c r="I22" s="44" t="n">
        <f aca="false">D22+E22+F22+G22+H22</f>
        <v>0.496957333333333</v>
      </c>
      <c r="K22" s="44" t="n">
        <f aca="false">D22+E22+G22+H22</f>
        <v>0.490290666666667</v>
      </c>
    </row>
    <row r="23" customFormat="false" ht="15.75" hidden="false" customHeight="true" outlineLevel="0" collapsed="false">
      <c r="A23" s="42" t="n">
        <f aca="false">INPUTS!A56</f>
        <v>6</v>
      </c>
      <c r="B23" s="35" t="str">
        <f aca="false">INPUTS!B56</f>
        <v>1M–5M</v>
      </c>
      <c r="C23" s="42" t="n">
        <f aca="false">INPUTS!D56</f>
        <v>2500000</v>
      </c>
      <c r="D23" s="37" t="n">
        <f aca="false">IF(A23&lt;=2,CALC_RM!$F$34,IF(A23&lt;=4,CALC_RM!$G$34,CALC_RM!$H$34))</f>
        <v>0.21998</v>
      </c>
      <c r="E23" s="37" t="n">
        <f aca="false">(INPUTS!$B$22/C23)*INPUTS!G56</f>
        <v>6.7104E-005</v>
      </c>
      <c r="F23" s="43" t="n">
        <f aca="false">INPUTS!$B$25/C23</f>
        <v>0.002</v>
      </c>
      <c r="G23" s="37" t="n">
        <f aca="false">INPUTS!F56</f>
        <v>0.25</v>
      </c>
      <c r="H23" s="27" t="n">
        <v>0</v>
      </c>
      <c r="I23" s="44" t="n">
        <f aca="false">D23+E23+F23+G23+H23</f>
        <v>0.472047104</v>
      </c>
      <c r="K23" s="44" t="n">
        <f aca="false">D23+E23+G23+H23</f>
        <v>0.470047104</v>
      </c>
    </row>
    <row r="24" customFormat="false" ht="15.75" hidden="false" customHeight="true" outlineLevel="0" collapsed="false">
      <c r="A24" s="42" t="n">
        <f aca="false">INPUTS!A57</f>
        <v>7</v>
      </c>
      <c r="B24" s="35" t="str">
        <f aca="false">INPUTS!B57</f>
        <v>5M+</v>
      </c>
      <c r="C24" s="42" t="n">
        <f aca="false">INPUTS!D57</f>
        <v>7500000</v>
      </c>
      <c r="D24" s="37" t="n">
        <f aca="false">IF(A24&lt;=2,CALC_RM!$F$34,IF(A24&lt;=4,CALC_RM!$G$34,CALC_RM!$H$34))</f>
        <v>0.21998</v>
      </c>
      <c r="E24" s="37" t="n">
        <f aca="false">(INPUTS!$B$22/C24)*INPUTS!G57</f>
        <v>1.4912E-005</v>
      </c>
      <c r="F24" s="43" t="n">
        <f aca="false">INPUTS!$B$25/C24</f>
        <v>0.000666666666666667</v>
      </c>
      <c r="G24" s="37" t="n">
        <f aca="false">INPUTS!F57</f>
        <v>0.22</v>
      </c>
      <c r="H24" s="27" t="n">
        <v>0</v>
      </c>
      <c r="I24" s="44" t="n">
        <f aca="false">D24+E24+F24+G24+H24</f>
        <v>0.440661578666667</v>
      </c>
      <c r="K24" s="44" t="n">
        <f aca="false">D24+E24+G24+H24</f>
        <v>0.439994912</v>
      </c>
    </row>
    <row r="25" customFormat="false" ht="15.75" hidden="false" customHeight="true" outlineLevel="0" collapsed="false"/>
    <row r="26" customFormat="false" ht="15.75" hidden="false" customHeight="true" outlineLevel="0" collapsed="false"/>
    <row r="27" customFormat="false" ht="18" hidden="false" customHeight="true" outlineLevel="0" collapsed="false">
      <c r="A27" s="6" t="s">
        <v>298</v>
      </c>
      <c r="B27" s="7"/>
      <c r="C27" s="7"/>
      <c r="D27" s="7"/>
      <c r="E27" s="7"/>
      <c r="F27" s="7"/>
      <c r="G27" s="7"/>
      <c r="H27" s="7"/>
      <c r="I27" s="7"/>
      <c r="J27" s="7"/>
      <c r="K27" s="7"/>
    </row>
    <row r="28" customFormat="false" ht="15.75" hidden="false" customHeight="true" outlineLevel="0" collapsed="false">
      <c r="A28" s="11" t="s">
        <v>299</v>
      </c>
    </row>
    <row r="29" customFormat="false" ht="15.75" hidden="false" customHeight="true" outlineLevel="0" collapsed="false">
      <c r="A29" s="11" t="s">
        <v>300</v>
      </c>
    </row>
    <row r="30" customFormat="false" ht="15.75" hidden="false" customHeight="true" outlineLevel="0" collapsed="false">
      <c r="A30" s="11" t="s">
        <v>301</v>
      </c>
    </row>
    <row r="31" customFormat="false" ht="15.75" hidden="false" customHeight="true" outlineLevel="0" collapsed="false">
      <c r="A31" s="11" t="s">
        <v>302</v>
      </c>
    </row>
    <row r="32" customFormat="false" ht="15.75" hidden="false" customHeight="true" outlineLevel="0" collapsed="false">
      <c r="A32" s="11" t="s">
        <v>303</v>
      </c>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B7" activeCellId="0" sqref="B7"/>
    </sheetView>
  </sheetViews>
  <sheetFormatPr defaultColWidth="14.43359375" defaultRowHeight="15" customHeight="true" zeroHeight="false" outlineLevelRow="0" outlineLevelCol="0"/>
  <cols>
    <col collapsed="false" customWidth="true" hidden="false" outlineLevel="0" max="1" min="1" style="1" width="32"/>
    <col collapsed="false" customWidth="true" hidden="false" outlineLevel="0" max="13" min="2" style="1" width="13.15"/>
    <col collapsed="false" customWidth="true" hidden="false" outlineLevel="0" max="14" min="14" style="1" width="14"/>
    <col collapsed="false" customWidth="true" hidden="false" outlineLevel="0" max="26" min="15" style="1" width="8.71"/>
  </cols>
  <sheetData>
    <row r="1" customFormat="false" ht="21.75" hidden="false" customHeight="true" outlineLevel="0" collapsed="false">
      <c r="A1" s="2" t="s">
        <v>304</v>
      </c>
    </row>
    <row r="2" customFormat="false" ht="95.25" hidden="false" customHeight="true" outlineLevel="0" collapsed="false">
      <c r="A2" s="11" t="s">
        <v>305</v>
      </c>
    </row>
    <row r="3" customFormat="false" ht="63.75" hidden="false" customHeight="true" outlineLevel="0" collapsed="false">
      <c r="A3" s="17" t="s">
        <v>306</v>
      </c>
      <c r="B3" s="45" t="n">
        <f aca="false">SUMIFS(INPUTS!C41:C46,INPUTS!B41:B46,"Yes")</f>
        <v>1</v>
      </c>
      <c r="D3" s="11" t="s">
        <v>307</v>
      </c>
    </row>
    <row r="5" customFormat="false" ht="15" hidden="false" customHeight="true" outlineLevel="0" collapsed="false">
      <c r="A5" s="17" t="s">
        <v>308</v>
      </c>
      <c r="B5" s="46" t="n">
        <v>1</v>
      </c>
      <c r="C5" s="46" t="n">
        <v>2</v>
      </c>
      <c r="D5" s="46" t="n">
        <v>3</v>
      </c>
      <c r="E5" s="46" t="n">
        <v>4</v>
      </c>
      <c r="F5" s="46" t="n">
        <v>5</v>
      </c>
      <c r="G5" s="46" t="n">
        <v>6</v>
      </c>
      <c r="H5" s="46" t="n">
        <v>7</v>
      </c>
      <c r="I5" s="46" t="n">
        <v>8</v>
      </c>
      <c r="J5" s="46" t="n">
        <v>9</v>
      </c>
      <c r="K5" s="46" t="n">
        <v>10</v>
      </c>
      <c r="L5" s="46" t="n">
        <v>11</v>
      </c>
      <c r="M5" s="46" t="n">
        <v>12</v>
      </c>
      <c r="N5" s="46" t="s">
        <v>309</v>
      </c>
    </row>
    <row r="6" customFormat="false" ht="15" hidden="false" customHeight="true" outlineLevel="0" collapsed="false">
      <c r="A6" s="17" t="s">
        <v>310</v>
      </c>
      <c r="B6" s="47" t="s">
        <v>204</v>
      </c>
      <c r="C6" s="47" t="s">
        <v>205</v>
      </c>
      <c r="D6" s="47" t="s">
        <v>206</v>
      </c>
      <c r="E6" s="47" t="s">
        <v>207</v>
      </c>
      <c r="F6" s="47" t="s">
        <v>208</v>
      </c>
      <c r="G6" s="47" t="s">
        <v>209</v>
      </c>
      <c r="H6" s="47" t="s">
        <v>210</v>
      </c>
      <c r="I6" s="47" t="s">
        <v>211</v>
      </c>
      <c r="J6" s="47" t="s">
        <v>212</v>
      </c>
      <c r="K6" s="47" t="s">
        <v>213</v>
      </c>
      <c r="L6" s="47" t="s">
        <v>214</v>
      </c>
      <c r="M6" s="47" t="s">
        <v>215</v>
      </c>
    </row>
    <row r="7" customFormat="false" ht="15" hidden="false" customHeight="true" outlineLevel="0" collapsed="false">
      <c r="A7" s="9" t="s">
        <v>311</v>
      </c>
      <c r="B7" s="42" t="n">
        <f aca="false">ROUND(INPUTS!B103*INPUTS!D103,0)</f>
        <v>2300</v>
      </c>
      <c r="C7" s="42" t="n">
        <f aca="false">ROUND(INPUTS!B104*INPUTS!D104,0)</f>
        <v>3300</v>
      </c>
      <c r="D7" s="42" t="n">
        <f aca="false">ROUND(INPUTS!B105*INPUTS!D105,0)</f>
        <v>4200</v>
      </c>
      <c r="E7" s="42" t="n">
        <f aca="false">ROUND(INPUTS!B106*INPUTS!D106,0)</f>
        <v>4750</v>
      </c>
      <c r="F7" s="42" t="n">
        <f aca="false">ROUND(INPUTS!B107*INPUTS!D107,0)</f>
        <v>4950</v>
      </c>
      <c r="G7" s="42" t="n">
        <f aca="false">ROUND(INPUTS!B108*INPUTS!D108,0)</f>
        <v>5700</v>
      </c>
      <c r="H7" s="42" t="n">
        <f aca="false">ROUND(INPUTS!B109*INPUTS!D109,0)</f>
        <v>6500</v>
      </c>
      <c r="I7" s="42" t="n">
        <f aca="false">ROUND(INPUTS!B110*INPUTS!D110,0)</f>
        <v>7000</v>
      </c>
      <c r="J7" s="42" t="n">
        <f aca="false">ROUND(INPUTS!B111*INPUTS!D111,0)</f>
        <v>7125</v>
      </c>
      <c r="K7" s="42" t="n">
        <f aca="false">ROUND(INPUTS!B112*INPUTS!D112,0)</f>
        <v>7600</v>
      </c>
      <c r="L7" s="42" t="n">
        <f aca="false">ROUND(INPUTS!B113*INPUTS!D113,0)</f>
        <v>8500</v>
      </c>
      <c r="M7" s="42" t="n">
        <f aca="false">ROUND(INPUTS!B114*INPUTS!D114,0)</f>
        <v>9000</v>
      </c>
      <c r="N7" s="48" t="n">
        <f aca="false">SUM(B7:M7)</f>
        <v>70925</v>
      </c>
    </row>
    <row r="8" customFormat="false" ht="15" hidden="false" customHeight="true" outlineLevel="0" collapsed="false">
      <c r="A8" s="9" t="s">
        <v>312</v>
      </c>
      <c r="B8" s="42" t="n">
        <f aca="false">ROUND(INPUTS!C103*INPUTS!E103,0)</f>
        <v>1275</v>
      </c>
      <c r="C8" s="42" t="n">
        <f aca="false">ROUND(INPUTS!C104*INPUTS!E104,0)</f>
        <v>2125</v>
      </c>
      <c r="D8" s="42" t="n">
        <f aca="false">ROUND(INPUTS!C105*INPUTS!E105,0)</f>
        <v>3150</v>
      </c>
      <c r="E8" s="42" t="n">
        <f aca="false">ROUND(INPUTS!C106*INPUTS!E106,0)</f>
        <v>4500</v>
      </c>
      <c r="F8" s="42" t="n">
        <f aca="false">ROUND(INPUTS!C107*INPUTS!E107,0)</f>
        <v>5500</v>
      </c>
      <c r="G8" s="42" t="n">
        <f aca="false">ROUND(INPUTS!C108*INPUTS!E108,0)</f>
        <v>6600</v>
      </c>
      <c r="H8" s="42" t="n">
        <f aca="false">ROUND(INPUTS!C109*INPUTS!E109,0)</f>
        <v>7500</v>
      </c>
      <c r="I8" s="42" t="n">
        <f aca="false">ROUND(INPUTS!C110*INPUTS!E110,0)</f>
        <v>7800</v>
      </c>
      <c r="J8" s="42" t="n">
        <f aca="false">ROUND(INPUTS!C111*INPUTS!E111,0)</f>
        <v>7350</v>
      </c>
      <c r="K8" s="42" t="n">
        <f aca="false">ROUND(INPUTS!C112*INPUTS!E112,0)</f>
        <v>6750</v>
      </c>
      <c r="L8" s="42" t="n">
        <f aca="false">ROUND(INPUTS!C113*INPUTS!E113,0)</f>
        <v>6800</v>
      </c>
      <c r="M8" s="42" t="n">
        <f aca="false">ROUND(INPUTS!C114*INPUTS!E114,0)</f>
        <v>7225</v>
      </c>
      <c r="N8" s="48" t="n">
        <f aca="false">SUM(B8:M8)</f>
        <v>66575</v>
      </c>
    </row>
    <row r="10" customFormat="false" ht="18" hidden="false" customHeight="true" outlineLevel="0" collapsed="false">
      <c r="A10" s="6" t="s">
        <v>313</v>
      </c>
      <c r="B10" s="7"/>
      <c r="C10" s="7"/>
      <c r="D10" s="7"/>
      <c r="E10" s="7"/>
      <c r="F10" s="7"/>
      <c r="G10" s="7"/>
      <c r="H10" s="7"/>
      <c r="I10" s="7"/>
      <c r="J10" s="7"/>
      <c r="K10" s="7"/>
      <c r="L10" s="7"/>
      <c r="M10" s="7"/>
      <c r="N10" s="7"/>
    </row>
    <row r="11" customFormat="false" ht="15" hidden="false" customHeight="true" outlineLevel="0" collapsed="false">
      <c r="A11" s="9" t="s">
        <v>314</v>
      </c>
      <c r="B11" s="29" t="n">
        <v>0</v>
      </c>
      <c r="C11" s="29" t="n">
        <f aca="false">B15</f>
        <v>345</v>
      </c>
      <c r="D11" s="29" t="n">
        <f aca="false">C15</f>
        <v>493</v>
      </c>
      <c r="E11" s="29" t="n">
        <f aca="false">D15</f>
        <v>628</v>
      </c>
      <c r="F11" s="29" t="n">
        <f aca="false">E15</f>
        <v>710</v>
      </c>
      <c r="G11" s="29" t="n">
        <f aca="false">F15</f>
        <v>739</v>
      </c>
      <c r="H11" s="29" t="n">
        <f aca="false">G15</f>
        <v>851</v>
      </c>
      <c r="I11" s="29" t="n">
        <f aca="false">H15</f>
        <v>971</v>
      </c>
      <c r="J11" s="29" t="n">
        <f aca="false">I15</f>
        <v>1045</v>
      </c>
      <c r="K11" s="29" t="n">
        <f aca="false">J15</f>
        <v>1064</v>
      </c>
      <c r="L11" s="29" t="n">
        <f aca="false">K15</f>
        <v>1135</v>
      </c>
      <c r="M11" s="29" t="n">
        <f aca="false">L15</f>
        <v>1269</v>
      </c>
    </row>
    <row r="12" customFormat="false" ht="15" hidden="false" customHeight="true" outlineLevel="0" collapsed="false">
      <c r="A12" s="9" t="s">
        <v>315</v>
      </c>
      <c r="B12" s="42" t="n">
        <f aca="false">CEILING(B7*INPUTS!$B$7,1)</f>
        <v>345</v>
      </c>
      <c r="C12" s="42" t="n">
        <f aca="false">CEILING(C7*INPUTS!$B$7,1)</f>
        <v>495</v>
      </c>
      <c r="D12" s="42" t="n">
        <f aca="false">CEILING(D7*INPUTS!$B$7,1)</f>
        <v>630</v>
      </c>
      <c r="E12" s="42" t="n">
        <f aca="false">CEILING(E7*INPUTS!$B$7,1)</f>
        <v>713</v>
      </c>
      <c r="F12" s="42" t="n">
        <f aca="false">CEILING(F7*INPUTS!$B$7,1)</f>
        <v>743</v>
      </c>
      <c r="G12" s="42" t="n">
        <f aca="false">CEILING(G7*INPUTS!$B$7,1)</f>
        <v>855</v>
      </c>
      <c r="H12" s="42" t="n">
        <f aca="false">CEILING(H7*INPUTS!$B$7,1)</f>
        <v>975</v>
      </c>
      <c r="I12" s="42" t="n">
        <f aca="false">CEILING(I7*INPUTS!$B$7,1)</f>
        <v>1050</v>
      </c>
      <c r="J12" s="42" t="n">
        <f aca="false">CEILING(J7*INPUTS!$B$7,1)</f>
        <v>1069</v>
      </c>
      <c r="K12" s="42" t="n">
        <f aca="false">CEILING(K7*INPUTS!$B$7,1)</f>
        <v>1140</v>
      </c>
      <c r="L12" s="42" t="n">
        <f aca="false">CEILING(L7*INPUTS!$B$7,1)</f>
        <v>1275</v>
      </c>
      <c r="M12" s="42" t="n">
        <f aca="false">CEILING(M7*INPUTS!$B$7,1)</f>
        <v>1350</v>
      </c>
    </row>
    <row r="13" customFormat="false" ht="15" hidden="false" customHeight="true" outlineLevel="0" collapsed="false">
      <c r="A13" s="9" t="s">
        <v>316</v>
      </c>
      <c r="B13" s="29" t="n">
        <f aca="false">MAX(B7+B12-B11,0)</f>
        <v>2645</v>
      </c>
      <c r="C13" s="29" t="n">
        <f aca="false">MAX(C7+C12-C11,0)</f>
        <v>3450</v>
      </c>
      <c r="D13" s="29" t="n">
        <f aca="false">MAX(D7+D12-D11,0)</f>
        <v>4337</v>
      </c>
      <c r="E13" s="29" t="n">
        <f aca="false">MAX(E7+E12-E11,0)</f>
        <v>4835</v>
      </c>
      <c r="F13" s="29" t="n">
        <f aca="false">MAX(F7+F12-F11,0)</f>
        <v>4983</v>
      </c>
      <c r="G13" s="29" t="n">
        <f aca="false">MAX(G7+G12-G11,0)</f>
        <v>5816</v>
      </c>
      <c r="H13" s="29" t="n">
        <f aca="false">MAX(H7+H12-H11,0)</f>
        <v>6624</v>
      </c>
      <c r="I13" s="29" t="n">
        <f aca="false">MAX(I7+I12-I11,0)</f>
        <v>7079</v>
      </c>
      <c r="J13" s="29" t="n">
        <f aca="false">MAX(J7+J12-J11,0)</f>
        <v>7149</v>
      </c>
      <c r="K13" s="29" t="n">
        <f aca="false">MAX(K7+K12-K11,0)</f>
        <v>7676</v>
      </c>
      <c r="L13" s="29" t="n">
        <f aca="false">MAX(L7+L12-L11,0)</f>
        <v>8640</v>
      </c>
      <c r="M13" s="29" t="n">
        <f aca="false">MAX(M7+M12-M11,0)</f>
        <v>9081</v>
      </c>
      <c r="N13" s="48" t="n">
        <f aca="false">SUM(B13:M13)</f>
        <v>72315</v>
      </c>
    </row>
    <row r="14" customFormat="false" ht="15" hidden="false" customHeight="true" outlineLevel="0" collapsed="false">
      <c r="A14" s="9" t="s">
        <v>317</v>
      </c>
      <c r="B14" s="42" t="n">
        <f aca="false">ROUND(B11*INPUTS!$B$11,0)</f>
        <v>0</v>
      </c>
      <c r="C14" s="42" t="n">
        <f aca="false">ROUND(C11*INPUTS!$B$11,0)</f>
        <v>2</v>
      </c>
      <c r="D14" s="42" t="n">
        <f aca="false">ROUND(D11*INPUTS!$B$11,0)</f>
        <v>2</v>
      </c>
      <c r="E14" s="42" t="n">
        <f aca="false">ROUND(E11*INPUTS!$B$11,0)</f>
        <v>3</v>
      </c>
      <c r="F14" s="42" t="n">
        <f aca="false">ROUND(F11*INPUTS!$B$11,0)</f>
        <v>4</v>
      </c>
      <c r="G14" s="42" t="n">
        <f aca="false">ROUND(G11*INPUTS!$B$11,0)</f>
        <v>4</v>
      </c>
      <c r="H14" s="42" t="n">
        <f aca="false">ROUND(H11*INPUTS!$B$11,0)</f>
        <v>4</v>
      </c>
      <c r="I14" s="42" t="n">
        <f aca="false">ROUND(I11*INPUTS!$B$11,0)</f>
        <v>5</v>
      </c>
      <c r="J14" s="42" t="n">
        <f aca="false">ROUND(J11*INPUTS!$B$11,0)</f>
        <v>5</v>
      </c>
      <c r="K14" s="42" t="n">
        <f aca="false">ROUND(K11*INPUTS!$B$11,0)</f>
        <v>5</v>
      </c>
      <c r="L14" s="42" t="n">
        <f aca="false">ROUND(L11*INPUTS!$B$11,0)</f>
        <v>6</v>
      </c>
      <c r="M14" s="42" t="n">
        <f aca="false">ROUND(M11*INPUTS!$B$11,0)</f>
        <v>6</v>
      </c>
      <c r="N14" s="48" t="n">
        <f aca="false">SUM(B14:M14)</f>
        <v>46</v>
      </c>
    </row>
    <row r="15" customFormat="false" ht="15" hidden="false" customHeight="true" outlineLevel="0" collapsed="false">
      <c r="A15" s="9" t="s">
        <v>318</v>
      </c>
      <c r="B15" s="29" t="n">
        <f aca="false">B11+B13-B7-B14</f>
        <v>345</v>
      </c>
      <c r="C15" s="29" t="n">
        <f aca="false">C11+C13-C7-C14</f>
        <v>493</v>
      </c>
      <c r="D15" s="29" t="n">
        <f aca="false">D11+D13-D7-D14</f>
        <v>628</v>
      </c>
      <c r="E15" s="29" t="n">
        <f aca="false">E11+E13-E7-E14</f>
        <v>710</v>
      </c>
      <c r="F15" s="29" t="n">
        <f aca="false">F11+F13-F7-F14</f>
        <v>739</v>
      </c>
      <c r="G15" s="29" t="n">
        <f aca="false">G11+G13-G7-G14</f>
        <v>851</v>
      </c>
      <c r="H15" s="29" t="n">
        <f aca="false">H11+H13-H7-H14</f>
        <v>971</v>
      </c>
      <c r="I15" s="29" t="n">
        <f aca="false">I11+I13-I7-I14</f>
        <v>1045</v>
      </c>
      <c r="J15" s="29" t="n">
        <f aca="false">J11+J13-J7-J14</f>
        <v>1064</v>
      </c>
      <c r="K15" s="29" t="n">
        <f aca="false">K11+K13-K7-K14</f>
        <v>1135</v>
      </c>
      <c r="L15" s="29" t="n">
        <f aca="false">L11+L13-L7-L14</f>
        <v>1269</v>
      </c>
      <c r="M15" s="29" t="n">
        <f aca="false">M11+M13-M7-M14</f>
        <v>1344</v>
      </c>
    </row>
    <row r="16" customFormat="false" ht="15" hidden="false" customHeight="true" outlineLevel="0" collapsed="false">
      <c r="A16" s="9" t="s">
        <v>319</v>
      </c>
      <c r="B16" s="35" t="str">
        <f aca="false">IF(AND(B13&gt;0,B13&lt;INPUTS!$B$142),"BELOW MOQ","")</f>
        <v>BELOW MOQ</v>
      </c>
      <c r="C16" s="35" t="str">
        <f aca="false">IF(AND(C13&gt;0,C13&lt;INPUTS!$B$142),"BELOW MOQ","")</f>
        <v>BELOW MOQ</v>
      </c>
      <c r="D16" s="35" t="str">
        <f aca="false">IF(AND(D13&gt;0,D13&lt;INPUTS!$B$142),"BELOW MOQ","")</f>
        <v>BELOW MOQ</v>
      </c>
      <c r="E16" s="35" t="str">
        <f aca="false">IF(AND(E13&gt;0,E13&lt;INPUTS!$B$142),"BELOW MOQ","")</f>
        <v>BELOW MOQ</v>
      </c>
      <c r="F16" s="35" t="str">
        <f aca="false">IF(AND(F13&gt;0,F13&lt;INPUTS!$B$142),"BELOW MOQ","")</f>
        <v>BELOW MOQ</v>
      </c>
      <c r="G16" s="35" t="str">
        <f aca="false">IF(AND(G13&gt;0,G13&lt;INPUTS!$B$142),"BELOW MOQ","")</f>
        <v/>
      </c>
      <c r="H16" s="35" t="str">
        <f aca="false">IF(AND(H13&gt;0,H13&lt;INPUTS!$B$142),"BELOW MOQ","")</f>
        <v/>
      </c>
      <c r="I16" s="35" t="str">
        <f aca="false">IF(AND(I13&gt;0,I13&lt;INPUTS!$B$142),"BELOW MOQ","")</f>
        <v/>
      </c>
      <c r="J16" s="35" t="str">
        <f aca="false">IF(AND(J13&gt;0,J13&lt;INPUTS!$B$142),"BELOW MOQ","")</f>
        <v/>
      </c>
      <c r="K16" s="35" t="str">
        <f aca="false">IF(AND(K13&gt;0,K13&lt;INPUTS!$B$142),"BELOW MOQ","")</f>
        <v/>
      </c>
      <c r="L16" s="35" t="str">
        <f aca="false">IF(AND(L13&gt;0,L13&lt;INPUTS!$B$142),"BELOW MOQ","")</f>
        <v/>
      </c>
      <c r="M16" s="35" t="str">
        <f aca="false">IF(AND(M13&gt;0,M13&lt;INPUTS!$B$142),"BELOW MOQ","")</f>
        <v/>
      </c>
    </row>
    <row r="18" customFormat="false" ht="18" hidden="false" customHeight="true" outlineLevel="0" collapsed="false">
      <c r="A18" s="6" t="s">
        <v>320</v>
      </c>
      <c r="B18" s="7"/>
      <c r="C18" s="7"/>
      <c r="D18" s="7"/>
      <c r="E18" s="7"/>
      <c r="F18" s="7"/>
      <c r="G18" s="7"/>
      <c r="H18" s="7"/>
      <c r="I18" s="7"/>
      <c r="J18" s="7"/>
      <c r="K18" s="7"/>
      <c r="L18" s="7"/>
      <c r="M18" s="7"/>
      <c r="N18" s="7"/>
    </row>
    <row r="19" customFormat="false" ht="15" hidden="false" customHeight="true" outlineLevel="0" collapsed="false">
      <c r="A19" s="9" t="s">
        <v>321</v>
      </c>
      <c r="B19" s="29" t="n">
        <v>0</v>
      </c>
      <c r="C19" s="29" t="n">
        <f aca="false">B23</f>
        <v>192</v>
      </c>
      <c r="D19" s="29" t="n">
        <f aca="false">C23</f>
        <v>319</v>
      </c>
      <c r="E19" s="29" t="n">
        <f aca="false">D23</f>
        <v>472</v>
      </c>
      <c r="F19" s="29" t="n">
        <f aca="false">E23</f>
        <v>674</v>
      </c>
      <c r="G19" s="29" t="n">
        <f aca="false">F23</f>
        <v>824</v>
      </c>
      <c r="H19" s="29" t="n">
        <f aca="false">G23</f>
        <v>988</v>
      </c>
      <c r="I19" s="29" t="n">
        <f aca="false">H23</f>
        <v>1123</v>
      </c>
      <c r="J19" s="29" t="n">
        <f aca="false">I23</f>
        <v>1168</v>
      </c>
      <c r="K19" s="29" t="n">
        <f aca="false">J23</f>
        <v>1101</v>
      </c>
      <c r="L19" s="29" t="n">
        <f aca="false">K23</f>
        <v>1011</v>
      </c>
      <c r="M19" s="29" t="n">
        <f aca="false">L23</f>
        <v>1018</v>
      </c>
    </row>
    <row r="20" customFormat="false" ht="15" hidden="false" customHeight="true" outlineLevel="0" collapsed="false">
      <c r="A20" s="9" t="s">
        <v>322</v>
      </c>
      <c r="B20" s="42" t="n">
        <f aca="false">CEILING(B8*INPUTS!$B$7,1)</f>
        <v>192</v>
      </c>
      <c r="C20" s="42" t="n">
        <f aca="false">CEILING(C8*INPUTS!$B$7,1)</f>
        <v>319</v>
      </c>
      <c r="D20" s="42" t="n">
        <f aca="false">CEILING(D8*INPUTS!$B$7,1)</f>
        <v>473</v>
      </c>
      <c r="E20" s="42" t="n">
        <f aca="false">CEILING(E8*INPUTS!$B$7,1)</f>
        <v>675</v>
      </c>
      <c r="F20" s="42" t="n">
        <f aca="false">CEILING(F8*INPUTS!$B$7,1)</f>
        <v>825</v>
      </c>
      <c r="G20" s="42" t="n">
        <f aca="false">CEILING(G8*INPUTS!$B$7,1)</f>
        <v>990</v>
      </c>
      <c r="H20" s="42" t="n">
        <f aca="false">CEILING(H8*INPUTS!$B$7,1)</f>
        <v>1125</v>
      </c>
      <c r="I20" s="42" t="n">
        <f aca="false">CEILING(I8*INPUTS!$B$7,1)</f>
        <v>1170</v>
      </c>
      <c r="J20" s="42" t="n">
        <f aca="false">CEILING(J8*INPUTS!$B$7,1)</f>
        <v>1103</v>
      </c>
      <c r="K20" s="42" t="n">
        <f aca="false">CEILING(K8*INPUTS!$B$7,1)</f>
        <v>1013</v>
      </c>
      <c r="L20" s="42" t="n">
        <f aca="false">CEILING(L8*INPUTS!$B$7,1)</f>
        <v>1020</v>
      </c>
      <c r="M20" s="42" t="n">
        <f aca="false">CEILING(M8*INPUTS!$B$7,1)</f>
        <v>1084</v>
      </c>
    </row>
    <row r="21" customFormat="false" ht="15.75" hidden="false" customHeight="true" outlineLevel="0" collapsed="false">
      <c r="A21" s="9" t="s">
        <v>323</v>
      </c>
      <c r="B21" s="29" t="n">
        <f aca="false">MAX(B8+B20-B19,0)</f>
        <v>1467</v>
      </c>
      <c r="C21" s="29" t="n">
        <f aca="false">MAX(C8+C20-C19,0)</f>
        <v>2252</v>
      </c>
      <c r="D21" s="29" t="n">
        <f aca="false">MAX(D8+D20-D19,0)</f>
        <v>3304</v>
      </c>
      <c r="E21" s="29" t="n">
        <f aca="false">MAX(E8+E20-E19,0)</f>
        <v>4703</v>
      </c>
      <c r="F21" s="29" t="n">
        <f aca="false">MAX(F8+F20-F19,0)</f>
        <v>5651</v>
      </c>
      <c r="G21" s="29" t="n">
        <f aca="false">MAX(G8+G20-G19,0)</f>
        <v>6766</v>
      </c>
      <c r="H21" s="29" t="n">
        <f aca="false">MAX(H8+H20-H19,0)</f>
        <v>7637</v>
      </c>
      <c r="I21" s="29" t="n">
        <f aca="false">MAX(I8+I20-I19,0)</f>
        <v>7847</v>
      </c>
      <c r="J21" s="29" t="n">
        <f aca="false">MAX(J8+J20-J19,0)</f>
        <v>7285</v>
      </c>
      <c r="K21" s="29" t="n">
        <f aca="false">MAX(K8+K20-K19,0)</f>
        <v>6662</v>
      </c>
      <c r="L21" s="29" t="n">
        <f aca="false">MAX(L8+L20-L19,0)</f>
        <v>6809</v>
      </c>
      <c r="M21" s="29" t="n">
        <f aca="false">MAX(M8+M20-M19,0)</f>
        <v>7291</v>
      </c>
      <c r="N21" s="48" t="n">
        <f aca="false">SUM(B21:M21)</f>
        <v>67674</v>
      </c>
    </row>
    <row r="22" customFormat="false" ht="15.75" hidden="false" customHeight="true" outlineLevel="0" collapsed="false">
      <c r="A22" s="9" t="s">
        <v>324</v>
      </c>
      <c r="B22" s="42" t="n">
        <f aca="false">ROUND(B19*INPUTS!$B$12,0)</f>
        <v>0</v>
      </c>
      <c r="C22" s="42" t="n">
        <f aca="false">ROUND(C19*INPUTS!$B$12,0)</f>
        <v>0</v>
      </c>
      <c r="D22" s="42" t="n">
        <f aca="false">ROUND(D19*INPUTS!$B$12,0)</f>
        <v>1</v>
      </c>
      <c r="E22" s="42" t="n">
        <f aca="false">ROUND(E19*INPUTS!$B$12,0)</f>
        <v>1</v>
      </c>
      <c r="F22" s="42" t="n">
        <f aca="false">ROUND(F19*INPUTS!$B$12,0)</f>
        <v>1</v>
      </c>
      <c r="G22" s="42" t="n">
        <f aca="false">ROUND(G19*INPUTS!$B$12,0)</f>
        <v>2</v>
      </c>
      <c r="H22" s="42" t="n">
        <f aca="false">ROUND(H19*INPUTS!$B$12,0)</f>
        <v>2</v>
      </c>
      <c r="I22" s="42" t="n">
        <f aca="false">ROUND(I19*INPUTS!$B$12,0)</f>
        <v>2</v>
      </c>
      <c r="J22" s="42" t="n">
        <f aca="false">ROUND(J19*INPUTS!$B$12,0)</f>
        <v>2</v>
      </c>
      <c r="K22" s="42" t="n">
        <f aca="false">ROUND(K19*INPUTS!$B$12,0)</f>
        <v>2</v>
      </c>
      <c r="L22" s="42" t="n">
        <f aca="false">ROUND(L19*INPUTS!$B$12,0)</f>
        <v>2</v>
      </c>
      <c r="M22" s="42" t="n">
        <f aca="false">ROUND(M19*INPUTS!$B$12,0)</f>
        <v>2</v>
      </c>
      <c r="N22" s="48" t="n">
        <f aca="false">SUM(B22:M22)</f>
        <v>17</v>
      </c>
    </row>
    <row r="23" customFormat="false" ht="15.75" hidden="false" customHeight="true" outlineLevel="0" collapsed="false">
      <c r="A23" s="9" t="s">
        <v>325</v>
      </c>
      <c r="B23" s="29" t="n">
        <f aca="false">B19+B21-B8-B22</f>
        <v>192</v>
      </c>
      <c r="C23" s="29" t="n">
        <f aca="false">C19+C21-C8-C22</f>
        <v>319</v>
      </c>
      <c r="D23" s="29" t="n">
        <f aca="false">D19+D21-D8-D22</f>
        <v>472</v>
      </c>
      <c r="E23" s="29" t="n">
        <f aca="false">E19+E21-E8-E22</f>
        <v>674</v>
      </c>
      <c r="F23" s="29" t="n">
        <f aca="false">F19+F21-F8-F22</f>
        <v>824</v>
      </c>
      <c r="G23" s="29" t="n">
        <f aca="false">G19+G21-G8-G22</f>
        <v>988</v>
      </c>
      <c r="H23" s="29" t="n">
        <f aca="false">H19+H21-H8-H22</f>
        <v>1123</v>
      </c>
      <c r="I23" s="29" t="n">
        <f aca="false">I19+I21-I8-I22</f>
        <v>1168</v>
      </c>
      <c r="J23" s="29" t="n">
        <f aca="false">J19+J21-J8-J22</f>
        <v>1101</v>
      </c>
      <c r="K23" s="29" t="n">
        <f aca="false">K19+K21-K8-K22</f>
        <v>1011</v>
      </c>
      <c r="L23" s="29" t="n">
        <f aca="false">L19+L21-L8-L22</f>
        <v>1018</v>
      </c>
      <c r="M23" s="29" t="n">
        <f aca="false">M19+M21-M8-M22</f>
        <v>1082</v>
      </c>
    </row>
    <row r="24" customFormat="false" ht="15.75" hidden="false" customHeight="true" outlineLevel="0" collapsed="false">
      <c r="A24" s="9" t="s">
        <v>326</v>
      </c>
      <c r="B24" s="35" t="str">
        <f aca="false">IF(AND(B21&gt;0,B21&lt;INPUTS!$B$143),"BELOW MOQ","")</f>
        <v>BELOW MOQ</v>
      </c>
      <c r="C24" s="35" t="str">
        <f aca="false">IF(AND(C21&gt;0,C21&lt;INPUTS!$B$143),"BELOW MOQ","")</f>
        <v>BELOW MOQ</v>
      </c>
      <c r="D24" s="35" t="str">
        <f aca="false">IF(AND(D21&gt;0,D21&lt;INPUTS!$B$143),"BELOW MOQ","")</f>
        <v>BELOW MOQ</v>
      </c>
      <c r="E24" s="35" t="str">
        <f aca="false">IF(AND(E21&gt;0,E21&lt;INPUTS!$B$143),"BELOW MOQ","")</f>
        <v>BELOW MOQ</v>
      </c>
      <c r="F24" s="35" t="str">
        <f aca="false">IF(AND(F21&gt;0,F21&lt;INPUTS!$B$143),"BELOW MOQ","")</f>
        <v>BELOW MOQ</v>
      </c>
      <c r="G24" s="35" t="str">
        <f aca="false">IF(AND(G21&gt;0,G21&lt;INPUTS!$B$143),"BELOW MOQ","")</f>
        <v>BELOW MOQ</v>
      </c>
      <c r="H24" s="35" t="str">
        <f aca="false">IF(AND(H21&gt;0,H21&lt;INPUTS!$B$143),"BELOW MOQ","")</f>
        <v>BELOW MOQ</v>
      </c>
      <c r="I24" s="35" t="str">
        <f aca="false">IF(AND(I21&gt;0,I21&lt;INPUTS!$B$143),"BELOW MOQ","")</f>
        <v>BELOW MOQ</v>
      </c>
      <c r="J24" s="35" t="str">
        <f aca="false">IF(AND(J21&gt;0,J21&lt;INPUTS!$B$143),"BELOW MOQ","")</f>
        <v>BELOW MOQ</v>
      </c>
      <c r="K24" s="35" t="str">
        <f aca="false">IF(AND(K21&gt;0,K21&lt;INPUTS!$B$143),"BELOW MOQ","")</f>
        <v>BELOW MOQ</v>
      </c>
      <c r="L24" s="35" t="str">
        <f aca="false">IF(AND(L21&gt;0,L21&lt;INPUTS!$B$143),"BELOW MOQ","")</f>
        <v>BELOW MOQ</v>
      </c>
      <c r="M24" s="35" t="str">
        <f aca="false">IF(AND(M21&gt;0,M21&lt;INPUTS!$B$143),"BELOW MOQ","")</f>
        <v>BELOW MOQ</v>
      </c>
    </row>
    <row r="25" customFormat="false" ht="15.75" hidden="false" customHeight="true" outlineLevel="0" collapsed="false"/>
    <row r="26" customFormat="false" ht="18" hidden="false" customHeight="true" outlineLevel="0" collapsed="false">
      <c r="A26" s="6" t="s">
        <v>327</v>
      </c>
      <c r="B26" s="7"/>
      <c r="C26" s="7"/>
      <c r="D26" s="7"/>
      <c r="E26" s="7"/>
      <c r="F26" s="7"/>
      <c r="G26" s="7"/>
      <c r="H26" s="7"/>
      <c r="I26" s="7"/>
      <c r="J26" s="7"/>
      <c r="K26" s="7"/>
      <c r="L26" s="7"/>
      <c r="M26" s="7"/>
      <c r="N26" s="7"/>
    </row>
    <row r="27" customFormat="false" ht="15.75" hidden="false" customHeight="true" outlineLevel="0" collapsed="false">
      <c r="A27" s="39" t="s">
        <v>328</v>
      </c>
      <c r="B27" s="49" t="s">
        <v>329</v>
      </c>
      <c r="C27" s="35" t="str">
        <f aca="false">INPUTS!B41</f>
        <v>Yes</v>
      </c>
      <c r="D27" s="49" t="s">
        <v>330</v>
      </c>
      <c r="E27" s="42" t="n">
        <f aca="false">INPUTS!G41</f>
        <v>0</v>
      </c>
      <c r="F27" s="49" t="s">
        <v>331</v>
      </c>
      <c r="G27" s="42" t="n">
        <f aca="false">INPUTS!H41</f>
        <v>30000</v>
      </c>
    </row>
    <row r="28" customFormat="false" ht="15.75" hidden="false" customHeight="true" outlineLevel="0" collapsed="false">
      <c r="A28" s="9" t="s">
        <v>332</v>
      </c>
      <c r="B28" s="29" t="n">
        <f aca="false">IF(AND(INPUTS!$B$41="Yes",B$5&gt;INPUTS!$G$41),IF(AND(INPUTS!$H$41&gt;0,(ROUND(B$7*INPUTS!$C$41/$B$3,0)+ROUND(B$8*INPUTS!$C$41/$B$3,0))&gt;INPUTS!$H$41),ROUND(ROUND(B$7*INPUTS!$C$41/$B$3,0)*INPUTS!$H$41/(ROUND(B$7*INPUTS!$C$41/$B$3,0)+ROUND(B$8*INPUTS!$C$41/$B$3,0)),0),ROUND(B$7*INPUTS!$C$41/$B$3,0)),0)</f>
        <v>920</v>
      </c>
      <c r="C28" s="29" t="n">
        <f aca="false">IF(AND(INPUTS!$B$41="Yes",C$5&gt;INPUTS!$G$41),IF(AND(INPUTS!$H$41&gt;0,(ROUND(C$7*INPUTS!$C$41/$B$3,0)+ROUND(C$8*INPUTS!$C$41/$B$3,0))&gt;INPUTS!$H$41),ROUND(ROUND(C$7*INPUTS!$C$41/$B$3,0)*INPUTS!$H$41/(ROUND(C$7*INPUTS!$C$41/$B$3,0)+ROUND(C$8*INPUTS!$C$41/$B$3,0)),0),ROUND(C$7*INPUTS!$C$41/$B$3,0)),0)</f>
        <v>1320</v>
      </c>
      <c r="D28" s="29" t="n">
        <f aca="false">IF(AND(INPUTS!$B$41="Yes",D$5&gt;INPUTS!$G$41),IF(AND(INPUTS!$H$41&gt;0,(ROUND(D$7*INPUTS!$C$41/$B$3,0)+ROUND(D$8*INPUTS!$C$41/$B$3,0))&gt;INPUTS!$H$41),ROUND(ROUND(D$7*INPUTS!$C$41/$B$3,0)*INPUTS!$H$41/(ROUND(D$7*INPUTS!$C$41/$B$3,0)+ROUND(D$8*INPUTS!$C$41/$B$3,0)),0),ROUND(D$7*INPUTS!$C$41/$B$3,0)),0)</f>
        <v>1680</v>
      </c>
      <c r="E28" s="29" t="n">
        <f aca="false">IF(AND(INPUTS!$B$41="Yes",E$5&gt;INPUTS!$G$41),IF(AND(INPUTS!$H$41&gt;0,(ROUND(E$7*INPUTS!$C$41/$B$3,0)+ROUND(E$8*INPUTS!$C$41/$B$3,0))&gt;INPUTS!$H$41),ROUND(ROUND(E$7*INPUTS!$C$41/$B$3,0)*INPUTS!$H$41/(ROUND(E$7*INPUTS!$C$41/$B$3,0)+ROUND(E$8*INPUTS!$C$41/$B$3,0)),0),ROUND(E$7*INPUTS!$C$41/$B$3,0)),0)</f>
        <v>1900</v>
      </c>
      <c r="F28" s="29" t="n">
        <f aca="false">IF(AND(INPUTS!$B$41="Yes",F$5&gt;INPUTS!$G$41),IF(AND(INPUTS!$H$41&gt;0,(ROUND(F$7*INPUTS!$C$41/$B$3,0)+ROUND(F$8*INPUTS!$C$41/$B$3,0))&gt;INPUTS!$H$41),ROUND(ROUND(F$7*INPUTS!$C$41/$B$3,0)*INPUTS!$H$41/(ROUND(F$7*INPUTS!$C$41/$B$3,0)+ROUND(F$8*INPUTS!$C$41/$B$3,0)),0),ROUND(F$7*INPUTS!$C$41/$B$3,0)),0)</f>
        <v>1980</v>
      </c>
      <c r="G28" s="29" t="n">
        <f aca="false">IF(AND(INPUTS!$B$41="Yes",G$5&gt;INPUTS!$G$41),IF(AND(INPUTS!$H$41&gt;0,(ROUND(G$7*INPUTS!$C$41/$B$3,0)+ROUND(G$8*INPUTS!$C$41/$B$3,0))&gt;INPUTS!$H$41),ROUND(ROUND(G$7*INPUTS!$C$41/$B$3,0)*INPUTS!$H$41/(ROUND(G$7*INPUTS!$C$41/$B$3,0)+ROUND(G$8*INPUTS!$C$41/$B$3,0)),0),ROUND(G$7*INPUTS!$C$41/$B$3,0)),0)</f>
        <v>2280</v>
      </c>
      <c r="H28" s="29" t="n">
        <f aca="false">IF(AND(INPUTS!$B$41="Yes",H$5&gt;INPUTS!$G$41),IF(AND(INPUTS!$H$41&gt;0,(ROUND(H$7*INPUTS!$C$41/$B$3,0)+ROUND(H$8*INPUTS!$C$41/$B$3,0))&gt;INPUTS!$H$41),ROUND(ROUND(H$7*INPUTS!$C$41/$B$3,0)*INPUTS!$H$41/(ROUND(H$7*INPUTS!$C$41/$B$3,0)+ROUND(H$8*INPUTS!$C$41/$B$3,0)),0),ROUND(H$7*INPUTS!$C$41/$B$3,0)),0)</f>
        <v>2600</v>
      </c>
      <c r="I28" s="29" t="n">
        <f aca="false">IF(AND(INPUTS!$B$41="Yes",I$5&gt;INPUTS!$G$41),IF(AND(INPUTS!$H$41&gt;0,(ROUND(I$7*INPUTS!$C$41/$B$3,0)+ROUND(I$8*INPUTS!$C$41/$B$3,0))&gt;INPUTS!$H$41),ROUND(ROUND(I$7*INPUTS!$C$41/$B$3,0)*INPUTS!$H$41/(ROUND(I$7*INPUTS!$C$41/$B$3,0)+ROUND(I$8*INPUTS!$C$41/$B$3,0)),0),ROUND(I$7*INPUTS!$C$41/$B$3,0)),0)</f>
        <v>2800</v>
      </c>
      <c r="J28" s="29" t="n">
        <f aca="false">IF(AND(INPUTS!$B$41="Yes",J$5&gt;INPUTS!$G$41),IF(AND(INPUTS!$H$41&gt;0,(ROUND(J$7*INPUTS!$C$41/$B$3,0)+ROUND(J$8*INPUTS!$C$41/$B$3,0))&gt;INPUTS!$H$41),ROUND(ROUND(J$7*INPUTS!$C$41/$B$3,0)*INPUTS!$H$41/(ROUND(J$7*INPUTS!$C$41/$B$3,0)+ROUND(J$8*INPUTS!$C$41/$B$3,0)),0),ROUND(J$7*INPUTS!$C$41/$B$3,0)),0)</f>
        <v>2850</v>
      </c>
      <c r="K28" s="29" t="n">
        <f aca="false">IF(AND(INPUTS!$B$41="Yes",K$5&gt;INPUTS!$G$41),IF(AND(INPUTS!$H$41&gt;0,(ROUND(K$7*INPUTS!$C$41/$B$3,0)+ROUND(K$8*INPUTS!$C$41/$B$3,0))&gt;INPUTS!$H$41),ROUND(ROUND(K$7*INPUTS!$C$41/$B$3,0)*INPUTS!$H$41/(ROUND(K$7*INPUTS!$C$41/$B$3,0)+ROUND(K$8*INPUTS!$C$41/$B$3,0)),0),ROUND(K$7*INPUTS!$C$41/$B$3,0)),0)</f>
        <v>3040</v>
      </c>
      <c r="L28" s="29" t="n">
        <f aca="false">IF(AND(INPUTS!$B$41="Yes",L$5&gt;INPUTS!$G$41),IF(AND(INPUTS!$H$41&gt;0,(ROUND(L$7*INPUTS!$C$41/$B$3,0)+ROUND(L$8*INPUTS!$C$41/$B$3,0))&gt;INPUTS!$H$41),ROUND(ROUND(L$7*INPUTS!$C$41/$B$3,0)*INPUTS!$H$41/(ROUND(L$7*INPUTS!$C$41/$B$3,0)+ROUND(L$8*INPUTS!$C$41/$B$3,0)),0),ROUND(L$7*INPUTS!$C$41/$B$3,0)),0)</f>
        <v>3400</v>
      </c>
      <c r="M28" s="29" t="n">
        <f aca="false">IF(AND(INPUTS!$B$41="Yes",M$5&gt;INPUTS!$G$41),IF(AND(INPUTS!$H$41&gt;0,(ROUND(M$7*INPUTS!$C$41/$B$3,0)+ROUND(M$8*INPUTS!$C$41/$B$3,0))&gt;INPUTS!$H$41),ROUND(ROUND(M$7*INPUTS!$C$41/$B$3,0)*INPUTS!$H$41/(ROUND(M$7*INPUTS!$C$41/$B$3,0)+ROUND(M$8*INPUTS!$C$41/$B$3,0)),0),ROUND(M$7*INPUTS!$C$41/$B$3,0)),0)</f>
        <v>3600</v>
      </c>
      <c r="N28" s="48" t="n">
        <f aca="false">SUM(B28:M28)</f>
        <v>28370</v>
      </c>
    </row>
    <row r="29" customFormat="false" ht="15.75" hidden="false" customHeight="true" outlineLevel="0" collapsed="false">
      <c r="A29" s="9" t="s">
        <v>333</v>
      </c>
      <c r="B29" s="29" t="n">
        <f aca="false">IF(AND(INPUTS!$B$41="Yes",B$5&gt;INPUTS!$G$41),IF(AND(INPUTS!$H$41&gt;0,(ROUND(B$7*INPUTS!$C$41/$B$3,0)+ROUND(B$8*INPUTS!$C$41/$B$3,0))&gt;INPUTS!$H$41),ROUND(ROUND(B$8*INPUTS!$C$41/$B$3,0)*INPUTS!$H$41/(ROUND(B$7*INPUTS!$C$41/$B$3,0)+ROUND(B$8*INPUTS!$C$41/$B$3,0)),0),ROUND(B$8*INPUTS!$C$41/$B$3,0)),0)</f>
        <v>510</v>
      </c>
      <c r="C29" s="29" t="n">
        <f aca="false">IF(AND(INPUTS!$B$41="Yes",C$5&gt;INPUTS!$G$41),IF(AND(INPUTS!$H$41&gt;0,(ROUND(C$7*INPUTS!$C$41/$B$3,0)+ROUND(C$8*INPUTS!$C$41/$B$3,0))&gt;INPUTS!$H$41),ROUND(ROUND(C$8*INPUTS!$C$41/$B$3,0)*INPUTS!$H$41/(ROUND(C$7*INPUTS!$C$41/$B$3,0)+ROUND(C$8*INPUTS!$C$41/$B$3,0)),0),ROUND(C$8*INPUTS!$C$41/$B$3,0)),0)</f>
        <v>850</v>
      </c>
      <c r="D29" s="29" t="n">
        <f aca="false">IF(AND(INPUTS!$B$41="Yes",D$5&gt;INPUTS!$G$41),IF(AND(INPUTS!$H$41&gt;0,(ROUND(D$7*INPUTS!$C$41/$B$3,0)+ROUND(D$8*INPUTS!$C$41/$B$3,0))&gt;INPUTS!$H$41),ROUND(ROUND(D$8*INPUTS!$C$41/$B$3,0)*INPUTS!$H$41/(ROUND(D$7*INPUTS!$C$41/$B$3,0)+ROUND(D$8*INPUTS!$C$41/$B$3,0)),0),ROUND(D$8*INPUTS!$C$41/$B$3,0)),0)</f>
        <v>1260</v>
      </c>
      <c r="E29" s="29" t="n">
        <f aca="false">IF(AND(INPUTS!$B$41="Yes",E$5&gt;INPUTS!$G$41),IF(AND(INPUTS!$H$41&gt;0,(ROUND(E$7*INPUTS!$C$41/$B$3,0)+ROUND(E$8*INPUTS!$C$41/$B$3,0))&gt;INPUTS!$H$41),ROUND(ROUND(E$8*INPUTS!$C$41/$B$3,0)*INPUTS!$H$41/(ROUND(E$7*INPUTS!$C$41/$B$3,0)+ROUND(E$8*INPUTS!$C$41/$B$3,0)),0),ROUND(E$8*INPUTS!$C$41/$B$3,0)),0)</f>
        <v>1800</v>
      </c>
      <c r="F29" s="29" t="n">
        <f aca="false">IF(AND(INPUTS!$B$41="Yes",F$5&gt;INPUTS!$G$41),IF(AND(INPUTS!$H$41&gt;0,(ROUND(F$7*INPUTS!$C$41/$B$3,0)+ROUND(F$8*INPUTS!$C$41/$B$3,0))&gt;INPUTS!$H$41),ROUND(ROUND(F$8*INPUTS!$C$41/$B$3,0)*INPUTS!$H$41/(ROUND(F$7*INPUTS!$C$41/$B$3,0)+ROUND(F$8*INPUTS!$C$41/$B$3,0)),0),ROUND(F$8*INPUTS!$C$41/$B$3,0)),0)</f>
        <v>2200</v>
      </c>
      <c r="G29" s="29" t="n">
        <f aca="false">IF(AND(INPUTS!$B$41="Yes",G$5&gt;INPUTS!$G$41),IF(AND(INPUTS!$H$41&gt;0,(ROUND(G$7*INPUTS!$C$41/$B$3,0)+ROUND(G$8*INPUTS!$C$41/$B$3,0))&gt;INPUTS!$H$41),ROUND(ROUND(G$8*INPUTS!$C$41/$B$3,0)*INPUTS!$H$41/(ROUND(G$7*INPUTS!$C$41/$B$3,0)+ROUND(G$8*INPUTS!$C$41/$B$3,0)),0),ROUND(G$8*INPUTS!$C$41/$B$3,0)),0)</f>
        <v>2640</v>
      </c>
      <c r="H29" s="29" t="n">
        <f aca="false">IF(AND(INPUTS!$B$41="Yes",H$5&gt;INPUTS!$G$41),IF(AND(INPUTS!$H$41&gt;0,(ROUND(H$7*INPUTS!$C$41/$B$3,0)+ROUND(H$8*INPUTS!$C$41/$B$3,0))&gt;INPUTS!$H$41),ROUND(ROUND(H$8*INPUTS!$C$41/$B$3,0)*INPUTS!$H$41/(ROUND(H$7*INPUTS!$C$41/$B$3,0)+ROUND(H$8*INPUTS!$C$41/$B$3,0)),0),ROUND(H$8*INPUTS!$C$41/$B$3,0)),0)</f>
        <v>3000</v>
      </c>
      <c r="I29" s="29" t="n">
        <f aca="false">IF(AND(INPUTS!$B$41="Yes",I$5&gt;INPUTS!$G$41),IF(AND(INPUTS!$H$41&gt;0,(ROUND(I$7*INPUTS!$C$41/$B$3,0)+ROUND(I$8*INPUTS!$C$41/$B$3,0))&gt;INPUTS!$H$41),ROUND(ROUND(I$8*INPUTS!$C$41/$B$3,0)*INPUTS!$H$41/(ROUND(I$7*INPUTS!$C$41/$B$3,0)+ROUND(I$8*INPUTS!$C$41/$B$3,0)),0),ROUND(I$8*INPUTS!$C$41/$B$3,0)),0)</f>
        <v>3120</v>
      </c>
      <c r="J29" s="29" t="n">
        <f aca="false">IF(AND(INPUTS!$B$41="Yes",J$5&gt;INPUTS!$G$41),IF(AND(INPUTS!$H$41&gt;0,(ROUND(J$7*INPUTS!$C$41/$B$3,0)+ROUND(J$8*INPUTS!$C$41/$B$3,0))&gt;INPUTS!$H$41),ROUND(ROUND(J$8*INPUTS!$C$41/$B$3,0)*INPUTS!$H$41/(ROUND(J$7*INPUTS!$C$41/$B$3,0)+ROUND(J$8*INPUTS!$C$41/$B$3,0)),0),ROUND(J$8*INPUTS!$C$41/$B$3,0)),0)</f>
        <v>2940</v>
      </c>
      <c r="K29" s="29" t="n">
        <f aca="false">IF(AND(INPUTS!$B$41="Yes",K$5&gt;INPUTS!$G$41),IF(AND(INPUTS!$H$41&gt;0,(ROUND(K$7*INPUTS!$C$41/$B$3,0)+ROUND(K$8*INPUTS!$C$41/$B$3,0))&gt;INPUTS!$H$41),ROUND(ROUND(K$8*INPUTS!$C$41/$B$3,0)*INPUTS!$H$41/(ROUND(K$7*INPUTS!$C$41/$B$3,0)+ROUND(K$8*INPUTS!$C$41/$B$3,0)),0),ROUND(K$8*INPUTS!$C$41/$B$3,0)),0)</f>
        <v>2700</v>
      </c>
      <c r="L29" s="29" t="n">
        <f aca="false">IF(AND(INPUTS!$B$41="Yes",L$5&gt;INPUTS!$G$41),IF(AND(INPUTS!$H$41&gt;0,(ROUND(L$7*INPUTS!$C$41/$B$3,0)+ROUND(L$8*INPUTS!$C$41/$B$3,0))&gt;INPUTS!$H$41),ROUND(ROUND(L$8*INPUTS!$C$41/$B$3,0)*INPUTS!$H$41/(ROUND(L$7*INPUTS!$C$41/$B$3,0)+ROUND(L$8*INPUTS!$C$41/$B$3,0)),0),ROUND(L$8*INPUTS!$C$41/$B$3,0)),0)</f>
        <v>2720</v>
      </c>
      <c r="M29" s="29" t="n">
        <f aca="false">IF(AND(INPUTS!$B$41="Yes",M$5&gt;INPUTS!$G$41),IF(AND(INPUTS!$H$41&gt;0,(ROUND(M$7*INPUTS!$C$41/$B$3,0)+ROUND(M$8*INPUTS!$C$41/$B$3,0))&gt;INPUTS!$H$41),ROUND(ROUND(M$8*INPUTS!$C$41/$B$3,0)*INPUTS!$H$41/(ROUND(M$7*INPUTS!$C$41/$B$3,0)+ROUND(M$8*INPUTS!$C$41/$B$3,0)),0),ROUND(M$8*INPUTS!$C$41/$B$3,0)),0)</f>
        <v>2890</v>
      </c>
      <c r="N29" s="48" t="n">
        <f aca="false">SUM(B29:M29)</f>
        <v>26630</v>
      </c>
    </row>
    <row r="30" customFormat="false" ht="15.75" hidden="false" customHeight="true" outlineLevel="0" collapsed="false">
      <c r="A30" s="9" t="s">
        <v>334</v>
      </c>
      <c r="B30" s="41" t="n">
        <f aca="false">B28*INPUTS!$D$41+B29*INPUTS!$E$41</f>
        <v>4367.5</v>
      </c>
      <c r="C30" s="41" t="n">
        <f aca="false">C28*INPUTS!$D$41+C29*INPUTS!$E$41</f>
        <v>6532.5</v>
      </c>
      <c r="D30" s="41" t="n">
        <f aca="false">D28*INPUTS!$D$41+D29*INPUTS!$E$41</f>
        <v>8715</v>
      </c>
      <c r="E30" s="41" t="n">
        <f aca="false">E28*INPUTS!$D$41+E29*INPUTS!$E$41</f>
        <v>10700</v>
      </c>
      <c r="F30" s="41" t="n">
        <f aca="false">F28*INPUTS!$D$41+F29*INPUTS!$E$41</f>
        <v>11880</v>
      </c>
      <c r="G30" s="41" t="n">
        <f aca="false">G28*INPUTS!$D$41+G29*INPUTS!$E$41</f>
        <v>13920</v>
      </c>
      <c r="H30" s="41" t="n">
        <f aca="false">H28*INPUTS!$D$41+H29*INPUTS!$E$41</f>
        <v>15850</v>
      </c>
      <c r="I30" s="41" t="n">
        <f aca="false">I28*INPUTS!$D$41+I29*INPUTS!$E$41</f>
        <v>16820</v>
      </c>
      <c r="J30" s="41" t="n">
        <f aca="false">J28*INPUTS!$D$41+J29*INPUTS!$E$41</f>
        <v>16590</v>
      </c>
      <c r="K30" s="41" t="n">
        <f aca="false">K28*INPUTS!$D$41+K29*INPUTS!$E$41</f>
        <v>16715</v>
      </c>
      <c r="L30" s="41" t="n">
        <f aca="false">L28*INPUTS!$D$41+L29*INPUTS!$E$41</f>
        <v>18020</v>
      </c>
      <c r="M30" s="41" t="n">
        <f aca="false">M28*INPUTS!$D$41+M29*INPUTS!$E$41</f>
        <v>19102.5</v>
      </c>
      <c r="N30" s="50" t="n">
        <f aca="false">SUM(B30:M30)</f>
        <v>159212.5</v>
      </c>
    </row>
    <row r="31" customFormat="false" ht="15.75" hidden="false" customHeight="true" outlineLevel="0" collapsed="false">
      <c r="A31" s="9" t="s">
        <v>335</v>
      </c>
      <c r="B31" s="41" t="n">
        <f aca="false">(B28+B29)*INPUTS!$F$41</f>
        <v>1215.5</v>
      </c>
      <c r="C31" s="41" t="n">
        <f aca="false">(C28+C29)*INPUTS!$F$41</f>
        <v>1844.5</v>
      </c>
      <c r="D31" s="41" t="n">
        <f aca="false">(D28+D29)*INPUTS!$F$41</f>
        <v>2499</v>
      </c>
      <c r="E31" s="41" t="n">
        <f aca="false">(E28+E29)*INPUTS!$F$41</f>
        <v>3145</v>
      </c>
      <c r="F31" s="41" t="n">
        <f aca="false">(F28+F29)*INPUTS!$F$41</f>
        <v>3553</v>
      </c>
      <c r="G31" s="41" t="n">
        <f aca="false">(G28+G29)*INPUTS!$F$41</f>
        <v>4182</v>
      </c>
      <c r="H31" s="41" t="n">
        <f aca="false">(H28+H29)*INPUTS!$F$41</f>
        <v>4760</v>
      </c>
      <c r="I31" s="41" t="n">
        <f aca="false">(I28+I29)*INPUTS!$F$41</f>
        <v>5032</v>
      </c>
      <c r="J31" s="41" t="n">
        <f aca="false">(J28+J29)*INPUTS!$F$41</f>
        <v>4921.5</v>
      </c>
      <c r="K31" s="41" t="n">
        <f aca="false">(K28+K29)*INPUTS!$F$41</f>
        <v>4879</v>
      </c>
      <c r="L31" s="41" t="n">
        <f aca="false">(L28+L29)*INPUTS!$F$41</f>
        <v>5202</v>
      </c>
      <c r="M31" s="41" t="n">
        <f aca="false">(M28+M29)*INPUTS!$F$41</f>
        <v>5516.5</v>
      </c>
      <c r="N31" s="50" t="n">
        <f aca="false">SUM(B31:M31)</f>
        <v>46750</v>
      </c>
    </row>
    <row r="32" customFormat="false" ht="15.75" hidden="false" customHeight="true" outlineLevel="0" collapsed="false"/>
    <row r="33" customFormat="false" ht="15.75" hidden="false" customHeight="true" outlineLevel="0" collapsed="false">
      <c r="A33" s="39" t="s">
        <v>336</v>
      </c>
      <c r="B33" s="49" t="s">
        <v>329</v>
      </c>
      <c r="C33" s="35" t="str">
        <f aca="false">INPUTS!B42</f>
        <v>Yes</v>
      </c>
      <c r="D33" s="49" t="s">
        <v>330</v>
      </c>
      <c r="E33" s="42" t="n">
        <f aca="false">INPUTS!G42</f>
        <v>2</v>
      </c>
      <c r="F33" s="49" t="s">
        <v>331</v>
      </c>
      <c r="G33" s="42" t="n">
        <f aca="false">INPUTS!H42</f>
        <v>18000</v>
      </c>
    </row>
    <row r="34" customFormat="false" ht="15.75" hidden="false" customHeight="true" outlineLevel="0" collapsed="false">
      <c r="A34" s="9" t="s">
        <v>332</v>
      </c>
      <c r="B34" s="29" t="n">
        <f aca="false">IF(AND(INPUTS!$B$42="Yes",B$5&gt;INPUTS!$G$42),IF(AND(INPUTS!$H$42&gt;0,(ROUND(B$7*INPUTS!$C$42/$B$3,0)+ROUND(B$8*INPUTS!$C$42/$B$3,0))&gt;INPUTS!$H$42),ROUND(ROUND(B$7*INPUTS!$C$42/$B$3,0)*INPUTS!$H$42/(ROUND(B$7*INPUTS!$C$42/$B$3,0)+ROUND(B$8*INPUTS!$C$42/$B$3,0)),0),ROUND(B$7*INPUTS!$C$42/$B$3,0)),0)</f>
        <v>0</v>
      </c>
      <c r="C34" s="29" t="n">
        <f aca="false">IF(AND(INPUTS!$B$42="Yes",C$5&gt;INPUTS!$G$42),IF(AND(INPUTS!$H$42&gt;0,(ROUND(C$7*INPUTS!$C$42/$B$3,0)+ROUND(C$8*INPUTS!$C$42/$B$3,0))&gt;INPUTS!$H$42),ROUND(ROUND(C$7*INPUTS!$C$42/$B$3,0)*INPUTS!$H$42/(ROUND(C$7*INPUTS!$C$42/$B$3,0)+ROUND(C$8*INPUTS!$C$42/$B$3,0)),0),ROUND(C$7*INPUTS!$C$42/$B$3,0)),0)</f>
        <v>0</v>
      </c>
      <c r="D34" s="29" t="n">
        <f aca="false">IF(AND(INPUTS!$B$42="Yes",D$5&gt;INPUTS!$G$42),IF(AND(INPUTS!$H$42&gt;0,(ROUND(D$7*INPUTS!$C$42/$B$3,0)+ROUND(D$8*INPUTS!$C$42/$B$3,0))&gt;INPUTS!$H$42),ROUND(ROUND(D$7*INPUTS!$C$42/$B$3,0)*INPUTS!$H$42/(ROUND(D$7*INPUTS!$C$42/$B$3,0)+ROUND(D$8*INPUTS!$C$42/$B$3,0)),0),ROUND(D$7*INPUTS!$C$42/$B$3,0)),0)</f>
        <v>840</v>
      </c>
      <c r="E34" s="29" t="n">
        <f aca="false">IF(AND(INPUTS!$B$42="Yes",E$5&gt;INPUTS!$G$42),IF(AND(INPUTS!$H$42&gt;0,(ROUND(E$7*INPUTS!$C$42/$B$3,0)+ROUND(E$8*INPUTS!$C$42/$B$3,0))&gt;INPUTS!$H$42),ROUND(ROUND(E$7*INPUTS!$C$42/$B$3,0)*INPUTS!$H$42/(ROUND(E$7*INPUTS!$C$42/$B$3,0)+ROUND(E$8*INPUTS!$C$42/$B$3,0)),0),ROUND(E$7*INPUTS!$C$42/$B$3,0)),0)</f>
        <v>950</v>
      </c>
      <c r="F34" s="29" t="n">
        <f aca="false">IF(AND(INPUTS!$B$42="Yes",F$5&gt;INPUTS!$G$42),IF(AND(INPUTS!$H$42&gt;0,(ROUND(F$7*INPUTS!$C$42/$B$3,0)+ROUND(F$8*INPUTS!$C$42/$B$3,0))&gt;INPUTS!$H$42),ROUND(ROUND(F$7*INPUTS!$C$42/$B$3,0)*INPUTS!$H$42/(ROUND(F$7*INPUTS!$C$42/$B$3,0)+ROUND(F$8*INPUTS!$C$42/$B$3,0)),0),ROUND(F$7*INPUTS!$C$42/$B$3,0)),0)</f>
        <v>990</v>
      </c>
      <c r="G34" s="29" t="n">
        <f aca="false">IF(AND(INPUTS!$B$42="Yes",G$5&gt;INPUTS!$G$42),IF(AND(INPUTS!$H$42&gt;0,(ROUND(G$7*INPUTS!$C$42/$B$3,0)+ROUND(G$8*INPUTS!$C$42/$B$3,0))&gt;INPUTS!$H$42),ROUND(ROUND(G$7*INPUTS!$C$42/$B$3,0)*INPUTS!$H$42/(ROUND(G$7*INPUTS!$C$42/$B$3,0)+ROUND(G$8*INPUTS!$C$42/$B$3,0)),0),ROUND(G$7*INPUTS!$C$42/$B$3,0)),0)</f>
        <v>1140</v>
      </c>
      <c r="H34" s="29" t="n">
        <f aca="false">IF(AND(INPUTS!$B$42="Yes",H$5&gt;INPUTS!$G$42),IF(AND(INPUTS!$H$42&gt;0,(ROUND(H$7*INPUTS!$C$42/$B$3,0)+ROUND(H$8*INPUTS!$C$42/$B$3,0))&gt;INPUTS!$H$42),ROUND(ROUND(H$7*INPUTS!$C$42/$B$3,0)*INPUTS!$H$42/(ROUND(H$7*INPUTS!$C$42/$B$3,0)+ROUND(H$8*INPUTS!$C$42/$B$3,0)),0),ROUND(H$7*INPUTS!$C$42/$B$3,0)),0)</f>
        <v>1300</v>
      </c>
      <c r="I34" s="29" t="n">
        <f aca="false">IF(AND(INPUTS!$B$42="Yes",I$5&gt;INPUTS!$G$42),IF(AND(INPUTS!$H$42&gt;0,(ROUND(I$7*INPUTS!$C$42/$B$3,0)+ROUND(I$8*INPUTS!$C$42/$B$3,0))&gt;INPUTS!$H$42),ROUND(ROUND(I$7*INPUTS!$C$42/$B$3,0)*INPUTS!$H$42/(ROUND(I$7*INPUTS!$C$42/$B$3,0)+ROUND(I$8*INPUTS!$C$42/$B$3,0)),0),ROUND(I$7*INPUTS!$C$42/$B$3,0)),0)</f>
        <v>1400</v>
      </c>
      <c r="J34" s="29" t="n">
        <f aca="false">IF(AND(INPUTS!$B$42="Yes",J$5&gt;INPUTS!$G$42),IF(AND(INPUTS!$H$42&gt;0,(ROUND(J$7*INPUTS!$C$42/$B$3,0)+ROUND(J$8*INPUTS!$C$42/$B$3,0))&gt;INPUTS!$H$42),ROUND(ROUND(J$7*INPUTS!$C$42/$B$3,0)*INPUTS!$H$42/(ROUND(J$7*INPUTS!$C$42/$B$3,0)+ROUND(J$8*INPUTS!$C$42/$B$3,0)),0),ROUND(J$7*INPUTS!$C$42/$B$3,0)),0)</f>
        <v>1425</v>
      </c>
      <c r="K34" s="29" t="n">
        <f aca="false">IF(AND(INPUTS!$B$42="Yes",K$5&gt;INPUTS!$G$42),IF(AND(INPUTS!$H$42&gt;0,(ROUND(K$7*INPUTS!$C$42/$B$3,0)+ROUND(K$8*INPUTS!$C$42/$B$3,0))&gt;INPUTS!$H$42),ROUND(ROUND(K$7*INPUTS!$C$42/$B$3,0)*INPUTS!$H$42/(ROUND(K$7*INPUTS!$C$42/$B$3,0)+ROUND(K$8*INPUTS!$C$42/$B$3,0)),0),ROUND(K$7*INPUTS!$C$42/$B$3,0)),0)</f>
        <v>1520</v>
      </c>
      <c r="L34" s="29" t="n">
        <f aca="false">IF(AND(INPUTS!$B$42="Yes",L$5&gt;INPUTS!$G$42),IF(AND(INPUTS!$H$42&gt;0,(ROUND(L$7*INPUTS!$C$42/$B$3,0)+ROUND(L$8*INPUTS!$C$42/$B$3,0))&gt;INPUTS!$H$42),ROUND(ROUND(L$7*INPUTS!$C$42/$B$3,0)*INPUTS!$H$42/(ROUND(L$7*INPUTS!$C$42/$B$3,0)+ROUND(L$8*INPUTS!$C$42/$B$3,0)),0),ROUND(L$7*INPUTS!$C$42/$B$3,0)),0)</f>
        <v>1700</v>
      </c>
      <c r="M34" s="29" t="n">
        <f aca="false">IF(AND(INPUTS!$B$42="Yes",M$5&gt;INPUTS!$G$42),IF(AND(INPUTS!$H$42&gt;0,(ROUND(M$7*INPUTS!$C$42/$B$3,0)+ROUND(M$8*INPUTS!$C$42/$B$3,0))&gt;INPUTS!$H$42),ROUND(ROUND(M$7*INPUTS!$C$42/$B$3,0)*INPUTS!$H$42/(ROUND(M$7*INPUTS!$C$42/$B$3,0)+ROUND(M$8*INPUTS!$C$42/$B$3,0)),0),ROUND(M$7*INPUTS!$C$42/$B$3,0)),0)</f>
        <v>1800</v>
      </c>
      <c r="N34" s="48" t="n">
        <f aca="false">SUM(B34:M34)</f>
        <v>13065</v>
      </c>
    </row>
    <row r="35" customFormat="false" ht="15.75" hidden="false" customHeight="true" outlineLevel="0" collapsed="false">
      <c r="A35" s="9" t="s">
        <v>333</v>
      </c>
      <c r="B35" s="29" t="n">
        <f aca="false">IF(AND(INPUTS!$B$42="Yes",B$5&gt;INPUTS!$G$42),IF(AND(INPUTS!$H$42&gt;0,(ROUND(B$7*INPUTS!$C$42/$B$3,0)+ROUND(B$8*INPUTS!$C$42/$B$3,0))&gt;INPUTS!$H$42),ROUND(ROUND(B$8*INPUTS!$C$42/$B$3,0)*INPUTS!$H$42/(ROUND(B$7*INPUTS!$C$42/$B$3,0)+ROUND(B$8*INPUTS!$C$42/$B$3,0)),0),ROUND(B$8*INPUTS!$C$42/$B$3,0)),0)</f>
        <v>0</v>
      </c>
      <c r="C35" s="29" t="n">
        <f aca="false">IF(AND(INPUTS!$B$42="Yes",C$5&gt;INPUTS!$G$42),IF(AND(INPUTS!$H$42&gt;0,(ROUND(C$7*INPUTS!$C$42/$B$3,0)+ROUND(C$8*INPUTS!$C$42/$B$3,0))&gt;INPUTS!$H$42),ROUND(ROUND(C$8*INPUTS!$C$42/$B$3,0)*INPUTS!$H$42/(ROUND(C$7*INPUTS!$C$42/$B$3,0)+ROUND(C$8*INPUTS!$C$42/$B$3,0)),0),ROUND(C$8*INPUTS!$C$42/$B$3,0)),0)</f>
        <v>0</v>
      </c>
      <c r="D35" s="29" t="n">
        <f aca="false">IF(AND(INPUTS!$B$42="Yes",D$5&gt;INPUTS!$G$42),IF(AND(INPUTS!$H$42&gt;0,(ROUND(D$7*INPUTS!$C$42/$B$3,0)+ROUND(D$8*INPUTS!$C$42/$B$3,0))&gt;INPUTS!$H$42),ROUND(ROUND(D$8*INPUTS!$C$42/$B$3,0)*INPUTS!$H$42/(ROUND(D$7*INPUTS!$C$42/$B$3,0)+ROUND(D$8*INPUTS!$C$42/$B$3,0)),0),ROUND(D$8*INPUTS!$C$42/$B$3,0)),0)</f>
        <v>630</v>
      </c>
      <c r="E35" s="29" t="n">
        <f aca="false">IF(AND(INPUTS!$B$42="Yes",E$5&gt;INPUTS!$G$42),IF(AND(INPUTS!$H$42&gt;0,(ROUND(E$7*INPUTS!$C$42/$B$3,0)+ROUND(E$8*INPUTS!$C$42/$B$3,0))&gt;INPUTS!$H$42),ROUND(ROUND(E$8*INPUTS!$C$42/$B$3,0)*INPUTS!$H$42/(ROUND(E$7*INPUTS!$C$42/$B$3,0)+ROUND(E$8*INPUTS!$C$42/$B$3,0)),0),ROUND(E$8*INPUTS!$C$42/$B$3,0)),0)</f>
        <v>900</v>
      </c>
      <c r="F35" s="29" t="n">
        <f aca="false">IF(AND(INPUTS!$B$42="Yes",F$5&gt;INPUTS!$G$42),IF(AND(INPUTS!$H$42&gt;0,(ROUND(F$7*INPUTS!$C$42/$B$3,0)+ROUND(F$8*INPUTS!$C$42/$B$3,0))&gt;INPUTS!$H$42),ROUND(ROUND(F$8*INPUTS!$C$42/$B$3,0)*INPUTS!$H$42/(ROUND(F$7*INPUTS!$C$42/$B$3,0)+ROUND(F$8*INPUTS!$C$42/$B$3,0)),0),ROUND(F$8*INPUTS!$C$42/$B$3,0)),0)</f>
        <v>1100</v>
      </c>
      <c r="G35" s="29" t="n">
        <f aca="false">IF(AND(INPUTS!$B$42="Yes",G$5&gt;INPUTS!$G$42),IF(AND(INPUTS!$H$42&gt;0,(ROUND(G$7*INPUTS!$C$42/$B$3,0)+ROUND(G$8*INPUTS!$C$42/$B$3,0))&gt;INPUTS!$H$42),ROUND(ROUND(G$8*INPUTS!$C$42/$B$3,0)*INPUTS!$H$42/(ROUND(G$7*INPUTS!$C$42/$B$3,0)+ROUND(G$8*INPUTS!$C$42/$B$3,0)),0),ROUND(G$8*INPUTS!$C$42/$B$3,0)),0)</f>
        <v>1320</v>
      </c>
      <c r="H35" s="29" t="n">
        <f aca="false">IF(AND(INPUTS!$B$42="Yes",H$5&gt;INPUTS!$G$42),IF(AND(INPUTS!$H$42&gt;0,(ROUND(H$7*INPUTS!$C$42/$B$3,0)+ROUND(H$8*INPUTS!$C$42/$B$3,0))&gt;INPUTS!$H$42),ROUND(ROUND(H$8*INPUTS!$C$42/$B$3,0)*INPUTS!$H$42/(ROUND(H$7*INPUTS!$C$42/$B$3,0)+ROUND(H$8*INPUTS!$C$42/$B$3,0)),0),ROUND(H$8*INPUTS!$C$42/$B$3,0)),0)</f>
        <v>1500</v>
      </c>
      <c r="I35" s="29" t="n">
        <f aca="false">IF(AND(INPUTS!$B$42="Yes",I$5&gt;INPUTS!$G$42),IF(AND(INPUTS!$H$42&gt;0,(ROUND(I$7*INPUTS!$C$42/$B$3,0)+ROUND(I$8*INPUTS!$C$42/$B$3,0))&gt;INPUTS!$H$42),ROUND(ROUND(I$8*INPUTS!$C$42/$B$3,0)*INPUTS!$H$42/(ROUND(I$7*INPUTS!$C$42/$B$3,0)+ROUND(I$8*INPUTS!$C$42/$B$3,0)),0),ROUND(I$8*INPUTS!$C$42/$B$3,0)),0)</f>
        <v>1560</v>
      </c>
      <c r="J35" s="29" t="n">
        <f aca="false">IF(AND(INPUTS!$B$42="Yes",J$5&gt;INPUTS!$G$42),IF(AND(INPUTS!$H$42&gt;0,(ROUND(J$7*INPUTS!$C$42/$B$3,0)+ROUND(J$8*INPUTS!$C$42/$B$3,0))&gt;INPUTS!$H$42),ROUND(ROUND(J$8*INPUTS!$C$42/$B$3,0)*INPUTS!$H$42/(ROUND(J$7*INPUTS!$C$42/$B$3,0)+ROUND(J$8*INPUTS!$C$42/$B$3,0)),0),ROUND(J$8*INPUTS!$C$42/$B$3,0)),0)</f>
        <v>1470</v>
      </c>
      <c r="K35" s="29" t="n">
        <f aca="false">IF(AND(INPUTS!$B$42="Yes",K$5&gt;INPUTS!$G$42),IF(AND(INPUTS!$H$42&gt;0,(ROUND(K$7*INPUTS!$C$42/$B$3,0)+ROUND(K$8*INPUTS!$C$42/$B$3,0))&gt;INPUTS!$H$42),ROUND(ROUND(K$8*INPUTS!$C$42/$B$3,0)*INPUTS!$H$42/(ROUND(K$7*INPUTS!$C$42/$B$3,0)+ROUND(K$8*INPUTS!$C$42/$B$3,0)),0),ROUND(K$8*INPUTS!$C$42/$B$3,0)),0)</f>
        <v>1350</v>
      </c>
      <c r="L35" s="29" t="n">
        <f aca="false">IF(AND(INPUTS!$B$42="Yes",L$5&gt;INPUTS!$G$42),IF(AND(INPUTS!$H$42&gt;0,(ROUND(L$7*INPUTS!$C$42/$B$3,0)+ROUND(L$8*INPUTS!$C$42/$B$3,0))&gt;INPUTS!$H$42),ROUND(ROUND(L$8*INPUTS!$C$42/$B$3,0)*INPUTS!$H$42/(ROUND(L$7*INPUTS!$C$42/$B$3,0)+ROUND(L$8*INPUTS!$C$42/$B$3,0)),0),ROUND(L$8*INPUTS!$C$42/$B$3,0)),0)</f>
        <v>1360</v>
      </c>
      <c r="M35" s="29" t="n">
        <f aca="false">IF(AND(INPUTS!$B$42="Yes",M$5&gt;INPUTS!$G$42),IF(AND(INPUTS!$H$42&gt;0,(ROUND(M$7*INPUTS!$C$42/$B$3,0)+ROUND(M$8*INPUTS!$C$42/$B$3,0))&gt;INPUTS!$H$42),ROUND(ROUND(M$8*INPUTS!$C$42/$B$3,0)*INPUTS!$H$42/(ROUND(M$7*INPUTS!$C$42/$B$3,0)+ROUND(M$8*INPUTS!$C$42/$B$3,0)),0),ROUND(M$8*INPUTS!$C$42/$B$3,0)),0)</f>
        <v>1445</v>
      </c>
      <c r="N35" s="48" t="n">
        <f aca="false">SUM(B35:M35)</f>
        <v>12635</v>
      </c>
    </row>
    <row r="36" customFormat="false" ht="15.75" hidden="false" customHeight="true" outlineLevel="0" collapsed="false">
      <c r="A36" s="9" t="s">
        <v>334</v>
      </c>
      <c r="B36" s="41" t="n">
        <f aca="false">B34*INPUTS!$D$42+B35*INPUTS!$E$42</f>
        <v>0</v>
      </c>
      <c r="C36" s="41" t="n">
        <f aca="false">C34*INPUTS!$D$42+C35*INPUTS!$E$42</f>
        <v>0</v>
      </c>
      <c r="D36" s="41" t="n">
        <f aca="false">D34*INPUTS!$D$42+D35*INPUTS!$E$42</f>
        <v>3486</v>
      </c>
      <c r="E36" s="41" t="n">
        <f aca="false">E34*INPUTS!$D$42+E35*INPUTS!$E$42</f>
        <v>4280</v>
      </c>
      <c r="F36" s="41" t="n">
        <f aca="false">F34*INPUTS!$D$42+F35*INPUTS!$E$42</f>
        <v>4752</v>
      </c>
      <c r="G36" s="41" t="n">
        <f aca="false">G34*INPUTS!$D$42+G35*INPUTS!$E$42</f>
        <v>5568</v>
      </c>
      <c r="H36" s="41" t="n">
        <f aca="false">H34*INPUTS!$D$42+H35*INPUTS!$E$42</f>
        <v>6340</v>
      </c>
      <c r="I36" s="41" t="n">
        <f aca="false">I34*INPUTS!$D$42+I35*INPUTS!$E$42</f>
        <v>6728</v>
      </c>
      <c r="J36" s="41" t="n">
        <f aca="false">J34*INPUTS!$D$42+J35*INPUTS!$E$42</f>
        <v>6636</v>
      </c>
      <c r="K36" s="41" t="n">
        <f aca="false">K34*INPUTS!$D$42+K35*INPUTS!$E$42</f>
        <v>6686</v>
      </c>
      <c r="L36" s="41" t="n">
        <f aca="false">L34*INPUTS!$D$42+L35*INPUTS!$E$42</f>
        <v>7208</v>
      </c>
      <c r="M36" s="41" t="n">
        <f aca="false">M34*INPUTS!$D$42+M35*INPUTS!$E$42</f>
        <v>7641</v>
      </c>
      <c r="N36" s="50" t="n">
        <f aca="false">SUM(B36:M36)</f>
        <v>59325</v>
      </c>
    </row>
    <row r="37" customFormat="false" ht="15.75" hidden="false" customHeight="true" outlineLevel="0" collapsed="false">
      <c r="A37" s="9" t="s">
        <v>335</v>
      </c>
      <c r="B37" s="41" t="n">
        <f aca="false">(B34+B35)*INPUTS!$F$42</f>
        <v>0</v>
      </c>
      <c r="C37" s="41" t="n">
        <f aca="false">(C34+C35)*INPUTS!$F$42</f>
        <v>0</v>
      </c>
      <c r="D37" s="41" t="n">
        <f aca="false">(D34+D35)*INPUTS!$F$42</f>
        <v>808.5</v>
      </c>
      <c r="E37" s="41" t="n">
        <f aca="false">(E34+E35)*INPUTS!$F$42</f>
        <v>1017.5</v>
      </c>
      <c r="F37" s="41" t="n">
        <f aca="false">(F34+F35)*INPUTS!$F$42</f>
        <v>1149.5</v>
      </c>
      <c r="G37" s="41" t="n">
        <f aca="false">(G34+G35)*INPUTS!$F$42</f>
        <v>1353</v>
      </c>
      <c r="H37" s="41" t="n">
        <f aca="false">(H34+H35)*INPUTS!$F$42</f>
        <v>1540</v>
      </c>
      <c r="I37" s="41" t="n">
        <f aca="false">(I34+I35)*INPUTS!$F$42</f>
        <v>1628</v>
      </c>
      <c r="J37" s="41" t="n">
        <f aca="false">(J34+J35)*INPUTS!$F$42</f>
        <v>1592.25</v>
      </c>
      <c r="K37" s="41" t="n">
        <f aca="false">(K34+K35)*INPUTS!$F$42</f>
        <v>1578.5</v>
      </c>
      <c r="L37" s="41" t="n">
        <f aca="false">(L34+L35)*INPUTS!$F$42</f>
        <v>1683</v>
      </c>
      <c r="M37" s="41" t="n">
        <f aca="false">(M34+M35)*INPUTS!$F$42</f>
        <v>1784.75</v>
      </c>
      <c r="N37" s="50" t="n">
        <f aca="false">SUM(B37:M37)</f>
        <v>14135</v>
      </c>
    </row>
    <row r="38" customFormat="false" ht="15.75" hidden="false" customHeight="true" outlineLevel="0" collapsed="false"/>
    <row r="39" customFormat="false" ht="15.75" hidden="false" customHeight="true" outlineLevel="0" collapsed="false">
      <c r="A39" s="39" t="s">
        <v>337</v>
      </c>
      <c r="B39" s="49" t="s">
        <v>329</v>
      </c>
      <c r="C39" s="35" t="str">
        <f aca="false">INPUTS!B43</f>
        <v>No</v>
      </c>
      <c r="D39" s="49" t="s">
        <v>330</v>
      </c>
      <c r="E39" s="42" t="n">
        <f aca="false">INPUTS!G43</f>
        <v>24</v>
      </c>
      <c r="F39" s="49" t="s">
        <v>331</v>
      </c>
      <c r="G39" s="42" t="n">
        <f aca="false">INPUTS!H43</f>
        <v>40000</v>
      </c>
    </row>
    <row r="40" customFormat="false" ht="15.75" hidden="false" customHeight="true" outlineLevel="0" collapsed="false">
      <c r="A40" s="9" t="s">
        <v>332</v>
      </c>
      <c r="B40" s="29" t="n">
        <f aca="false">IF(AND(INPUTS!$B$43="Yes",B$5&gt;INPUTS!$G$43),IF(AND(INPUTS!$H$43&gt;0,(ROUND(B$7*INPUTS!$C$43/$B$3,0)+ROUND(B$8*INPUTS!$C$43/$B$3,0))&gt;INPUTS!$H$43),ROUND(ROUND(B$7*INPUTS!$C$43/$B$3,0)*INPUTS!$H$43/(ROUND(B$7*INPUTS!$C$43/$B$3,0)+ROUND(B$8*INPUTS!$C$43/$B$3,0)),0),ROUND(B$7*INPUTS!$C$43/$B$3,0)),0)</f>
        <v>0</v>
      </c>
      <c r="C40" s="29" t="n">
        <f aca="false">IF(AND(INPUTS!$B$43="Yes",C$5&gt;INPUTS!$G$43),IF(AND(INPUTS!$H$43&gt;0,(ROUND(C$7*INPUTS!$C$43/$B$3,0)+ROUND(C$8*INPUTS!$C$43/$B$3,0))&gt;INPUTS!$H$43),ROUND(ROUND(C$7*INPUTS!$C$43/$B$3,0)*INPUTS!$H$43/(ROUND(C$7*INPUTS!$C$43/$B$3,0)+ROUND(C$8*INPUTS!$C$43/$B$3,0)),0),ROUND(C$7*INPUTS!$C$43/$B$3,0)),0)</f>
        <v>0</v>
      </c>
      <c r="D40" s="29" t="n">
        <f aca="false">IF(AND(INPUTS!$B$43="Yes",D$5&gt;INPUTS!$G$43),IF(AND(INPUTS!$H$43&gt;0,(ROUND(D$7*INPUTS!$C$43/$B$3,0)+ROUND(D$8*INPUTS!$C$43/$B$3,0))&gt;INPUTS!$H$43),ROUND(ROUND(D$7*INPUTS!$C$43/$B$3,0)*INPUTS!$H$43/(ROUND(D$7*INPUTS!$C$43/$B$3,0)+ROUND(D$8*INPUTS!$C$43/$B$3,0)),0),ROUND(D$7*INPUTS!$C$43/$B$3,0)),0)</f>
        <v>0</v>
      </c>
      <c r="E40" s="29" t="n">
        <f aca="false">IF(AND(INPUTS!$B$43="Yes",E$5&gt;INPUTS!$G$43),IF(AND(INPUTS!$H$43&gt;0,(ROUND(E$7*INPUTS!$C$43/$B$3,0)+ROUND(E$8*INPUTS!$C$43/$B$3,0))&gt;INPUTS!$H$43),ROUND(ROUND(E$7*INPUTS!$C$43/$B$3,0)*INPUTS!$H$43/(ROUND(E$7*INPUTS!$C$43/$B$3,0)+ROUND(E$8*INPUTS!$C$43/$B$3,0)),0),ROUND(E$7*INPUTS!$C$43/$B$3,0)),0)</f>
        <v>0</v>
      </c>
      <c r="F40" s="29" t="n">
        <f aca="false">IF(AND(INPUTS!$B$43="Yes",F$5&gt;INPUTS!$G$43),IF(AND(INPUTS!$H$43&gt;0,(ROUND(F$7*INPUTS!$C$43/$B$3,0)+ROUND(F$8*INPUTS!$C$43/$B$3,0))&gt;INPUTS!$H$43),ROUND(ROUND(F$7*INPUTS!$C$43/$B$3,0)*INPUTS!$H$43/(ROUND(F$7*INPUTS!$C$43/$B$3,0)+ROUND(F$8*INPUTS!$C$43/$B$3,0)),0),ROUND(F$7*INPUTS!$C$43/$B$3,0)),0)</f>
        <v>0</v>
      </c>
      <c r="G40" s="29" t="n">
        <f aca="false">IF(AND(INPUTS!$B$43="Yes",G$5&gt;INPUTS!$G$43),IF(AND(INPUTS!$H$43&gt;0,(ROUND(G$7*INPUTS!$C$43/$B$3,0)+ROUND(G$8*INPUTS!$C$43/$B$3,0))&gt;INPUTS!$H$43),ROUND(ROUND(G$7*INPUTS!$C$43/$B$3,0)*INPUTS!$H$43/(ROUND(G$7*INPUTS!$C$43/$B$3,0)+ROUND(G$8*INPUTS!$C$43/$B$3,0)),0),ROUND(G$7*INPUTS!$C$43/$B$3,0)),0)</f>
        <v>0</v>
      </c>
      <c r="H40" s="29" t="n">
        <f aca="false">IF(AND(INPUTS!$B$43="Yes",H$5&gt;INPUTS!$G$43),IF(AND(INPUTS!$H$43&gt;0,(ROUND(H$7*INPUTS!$C$43/$B$3,0)+ROUND(H$8*INPUTS!$C$43/$B$3,0))&gt;INPUTS!$H$43),ROUND(ROUND(H$7*INPUTS!$C$43/$B$3,0)*INPUTS!$H$43/(ROUND(H$7*INPUTS!$C$43/$B$3,0)+ROUND(H$8*INPUTS!$C$43/$B$3,0)),0),ROUND(H$7*INPUTS!$C$43/$B$3,0)),0)</f>
        <v>0</v>
      </c>
      <c r="I40" s="29" t="n">
        <f aca="false">IF(AND(INPUTS!$B$43="Yes",I$5&gt;INPUTS!$G$43),IF(AND(INPUTS!$H$43&gt;0,(ROUND(I$7*INPUTS!$C$43/$B$3,0)+ROUND(I$8*INPUTS!$C$43/$B$3,0))&gt;INPUTS!$H$43),ROUND(ROUND(I$7*INPUTS!$C$43/$B$3,0)*INPUTS!$H$43/(ROUND(I$7*INPUTS!$C$43/$B$3,0)+ROUND(I$8*INPUTS!$C$43/$B$3,0)),0),ROUND(I$7*INPUTS!$C$43/$B$3,0)),0)</f>
        <v>0</v>
      </c>
      <c r="J40" s="29" t="n">
        <f aca="false">IF(AND(INPUTS!$B$43="Yes",J$5&gt;INPUTS!$G$43),IF(AND(INPUTS!$H$43&gt;0,(ROUND(J$7*INPUTS!$C$43/$B$3,0)+ROUND(J$8*INPUTS!$C$43/$B$3,0))&gt;INPUTS!$H$43),ROUND(ROUND(J$7*INPUTS!$C$43/$B$3,0)*INPUTS!$H$43/(ROUND(J$7*INPUTS!$C$43/$B$3,0)+ROUND(J$8*INPUTS!$C$43/$B$3,0)),0),ROUND(J$7*INPUTS!$C$43/$B$3,0)),0)</f>
        <v>0</v>
      </c>
      <c r="K40" s="29" t="n">
        <f aca="false">IF(AND(INPUTS!$B$43="Yes",K$5&gt;INPUTS!$G$43),IF(AND(INPUTS!$H$43&gt;0,(ROUND(K$7*INPUTS!$C$43/$B$3,0)+ROUND(K$8*INPUTS!$C$43/$B$3,0))&gt;INPUTS!$H$43),ROUND(ROUND(K$7*INPUTS!$C$43/$B$3,0)*INPUTS!$H$43/(ROUND(K$7*INPUTS!$C$43/$B$3,0)+ROUND(K$8*INPUTS!$C$43/$B$3,0)),0),ROUND(K$7*INPUTS!$C$43/$B$3,0)),0)</f>
        <v>0</v>
      </c>
      <c r="L40" s="29" t="n">
        <f aca="false">IF(AND(INPUTS!$B$43="Yes",L$5&gt;INPUTS!$G$43),IF(AND(INPUTS!$H$43&gt;0,(ROUND(L$7*INPUTS!$C$43/$B$3,0)+ROUND(L$8*INPUTS!$C$43/$B$3,0))&gt;INPUTS!$H$43),ROUND(ROUND(L$7*INPUTS!$C$43/$B$3,0)*INPUTS!$H$43/(ROUND(L$7*INPUTS!$C$43/$B$3,0)+ROUND(L$8*INPUTS!$C$43/$B$3,0)),0),ROUND(L$7*INPUTS!$C$43/$B$3,0)),0)</f>
        <v>0</v>
      </c>
      <c r="M40" s="29" t="n">
        <f aca="false">IF(AND(INPUTS!$B$43="Yes",M$5&gt;INPUTS!$G$43),IF(AND(INPUTS!$H$43&gt;0,(ROUND(M$7*INPUTS!$C$43/$B$3,0)+ROUND(M$8*INPUTS!$C$43/$B$3,0))&gt;INPUTS!$H$43),ROUND(ROUND(M$7*INPUTS!$C$43/$B$3,0)*INPUTS!$H$43/(ROUND(M$7*INPUTS!$C$43/$B$3,0)+ROUND(M$8*INPUTS!$C$43/$B$3,0)),0),ROUND(M$7*INPUTS!$C$43/$B$3,0)),0)</f>
        <v>0</v>
      </c>
      <c r="N40" s="48" t="n">
        <f aca="false">SUM(B40:M40)</f>
        <v>0</v>
      </c>
    </row>
    <row r="41" customFormat="false" ht="15.75" hidden="false" customHeight="true" outlineLevel="0" collapsed="false">
      <c r="A41" s="9" t="s">
        <v>333</v>
      </c>
      <c r="B41" s="29" t="n">
        <f aca="false">IF(AND(INPUTS!$B$43="Yes",B$5&gt;INPUTS!$G$43),IF(AND(INPUTS!$H$43&gt;0,(ROUND(B$7*INPUTS!$C$43/$B$3,0)+ROUND(B$8*INPUTS!$C$43/$B$3,0))&gt;INPUTS!$H$43),ROUND(ROUND(B$8*INPUTS!$C$43/$B$3,0)*INPUTS!$H$43/(ROUND(B$7*INPUTS!$C$43/$B$3,0)+ROUND(B$8*INPUTS!$C$43/$B$3,0)),0),ROUND(B$8*INPUTS!$C$43/$B$3,0)),0)</f>
        <v>0</v>
      </c>
      <c r="C41" s="29" t="n">
        <f aca="false">IF(AND(INPUTS!$B$43="Yes",C$5&gt;INPUTS!$G$43),IF(AND(INPUTS!$H$43&gt;0,(ROUND(C$7*INPUTS!$C$43/$B$3,0)+ROUND(C$8*INPUTS!$C$43/$B$3,0))&gt;INPUTS!$H$43),ROUND(ROUND(C$8*INPUTS!$C$43/$B$3,0)*INPUTS!$H$43/(ROUND(C$7*INPUTS!$C$43/$B$3,0)+ROUND(C$8*INPUTS!$C$43/$B$3,0)),0),ROUND(C$8*INPUTS!$C$43/$B$3,0)),0)</f>
        <v>0</v>
      </c>
      <c r="D41" s="29" t="n">
        <f aca="false">IF(AND(INPUTS!$B$43="Yes",D$5&gt;INPUTS!$G$43),IF(AND(INPUTS!$H$43&gt;0,(ROUND(D$7*INPUTS!$C$43/$B$3,0)+ROUND(D$8*INPUTS!$C$43/$B$3,0))&gt;INPUTS!$H$43),ROUND(ROUND(D$8*INPUTS!$C$43/$B$3,0)*INPUTS!$H$43/(ROUND(D$7*INPUTS!$C$43/$B$3,0)+ROUND(D$8*INPUTS!$C$43/$B$3,0)),0),ROUND(D$8*INPUTS!$C$43/$B$3,0)),0)</f>
        <v>0</v>
      </c>
      <c r="E41" s="29" t="n">
        <f aca="false">IF(AND(INPUTS!$B$43="Yes",E$5&gt;INPUTS!$G$43),IF(AND(INPUTS!$H$43&gt;0,(ROUND(E$7*INPUTS!$C$43/$B$3,0)+ROUND(E$8*INPUTS!$C$43/$B$3,0))&gt;INPUTS!$H$43),ROUND(ROUND(E$8*INPUTS!$C$43/$B$3,0)*INPUTS!$H$43/(ROUND(E$7*INPUTS!$C$43/$B$3,0)+ROUND(E$8*INPUTS!$C$43/$B$3,0)),0),ROUND(E$8*INPUTS!$C$43/$B$3,0)),0)</f>
        <v>0</v>
      </c>
      <c r="F41" s="29" t="n">
        <f aca="false">IF(AND(INPUTS!$B$43="Yes",F$5&gt;INPUTS!$G$43),IF(AND(INPUTS!$H$43&gt;0,(ROUND(F$7*INPUTS!$C$43/$B$3,0)+ROUND(F$8*INPUTS!$C$43/$B$3,0))&gt;INPUTS!$H$43),ROUND(ROUND(F$8*INPUTS!$C$43/$B$3,0)*INPUTS!$H$43/(ROUND(F$7*INPUTS!$C$43/$B$3,0)+ROUND(F$8*INPUTS!$C$43/$B$3,0)),0),ROUND(F$8*INPUTS!$C$43/$B$3,0)),0)</f>
        <v>0</v>
      </c>
      <c r="G41" s="29" t="n">
        <f aca="false">IF(AND(INPUTS!$B$43="Yes",G$5&gt;INPUTS!$G$43),IF(AND(INPUTS!$H$43&gt;0,(ROUND(G$7*INPUTS!$C$43/$B$3,0)+ROUND(G$8*INPUTS!$C$43/$B$3,0))&gt;INPUTS!$H$43),ROUND(ROUND(G$8*INPUTS!$C$43/$B$3,0)*INPUTS!$H$43/(ROUND(G$7*INPUTS!$C$43/$B$3,0)+ROUND(G$8*INPUTS!$C$43/$B$3,0)),0),ROUND(G$8*INPUTS!$C$43/$B$3,0)),0)</f>
        <v>0</v>
      </c>
      <c r="H41" s="29" t="n">
        <f aca="false">IF(AND(INPUTS!$B$43="Yes",H$5&gt;INPUTS!$G$43),IF(AND(INPUTS!$H$43&gt;0,(ROUND(H$7*INPUTS!$C$43/$B$3,0)+ROUND(H$8*INPUTS!$C$43/$B$3,0))&gt;INPUTS!$H$43),ROUND(ROUND(H$8*INPUTS!$C$43/$B$3,0)*INPUTS!$H$43/(ROUND(H$7*INPUTS!$C$43/$B$3,0)+ROUND(H$8*INPUTS!$C$43/$B$3,0)),0),ROUND(H$8*INPUTS!$C$43/$B$3,0)),0)</f>
        <v>0</v>
      </c>
      <c r="I41" s="29" t="n">
        <f aca="false">IF(AND(INPUTS!$B$43="Yes",I$5&gt;INPUTS!$G$43),IF(AND(INPUTS!$H$43&gt;0,(ROUND(I$7*INPUTS!$C$43/$B$3,0)+ROUND(I$8*INPUTS!$C$43/$B$3,0))&gt;INPUTS!$H$43),ROUND(ROUND(I$8*INPUTS!$C$43/$B$3,0)*INPUTS!$H$43/(ROUND(I$7*INPUTS!$C$43/$B$3,0)+ROUND(I$8*INPUTS!$C$43/$B$3,0)),0),ROUND(I$8*INPUTS!$C$43/$B$3,0)),0)</f>
        <v>0</v>
      </c>
      <c r="J41" s="29" t="n">
        <f aca="false">IF(AND(INPUTS!$B$43="Yes",J$5&gt;INPUTS!$G$43),IF(AND(INPUTS!$H$43&gt;0,(ROUND(J$7*INPUTS!$C$43/$B$3,0)+ROUND(J$8*INPUTS!$C$43/$B$3,0))&gt;INPUTS!$H$43),ROUND(ROUND(J$8*INPUTS!$C$43/$B$3,0)*INPUTS!$H$43/(ROUND(J$7*INPUTS!$C$43/$B$3,0)+ROUND(J$8*INPUTS!$C$43/$B$3,0)),0),ROUND(J$8*INPUTS!$C$43/$B$3,0)),0)</f>
        <v>0</v>
      </c>
      <c r="K41" s="29" t="n">
        <f aca="false">IF(AND(INPUTS!$B$43="Yes",K$5&gt;INPUTS!$G$43),IF(AND(INPUTS!$H$43&gt;0,(ROUND(K$7*INPUTS!$C$43/$B$3,0)+ROUND(K$8*INPUTS!$C$43/$B$3,0))&gt;INPUTS!$H$43),ROUND(ROUND(K$8*INPUTS!$C$43/$B$3,0)*INPUTS!$H$43/(ROUND(K$7*INPUTS!$C$43/$B$3,0)+ROUND(K$8*INPUTS!$C$43/$B$3,0)),0),ROUND(K$8*INPUTS!$C$43/$B$3,0)),0)</f>
        <v>0</v>
      </c>
      <c r="L41" s="29" t="n">
        <f aca="false">IF(AND(INPUTS!$B$43="Yes",L$5&gt;INPUTS!$G$43),IF(AND(INPUTS!$H$43&gt;0,(ROUND(L$7*INPUTS!$C$43/$B$3,0)+ROUND(L$8*INPUTS!$C$43/$B$3,0))&gt;INPUTS!$H$43),ROUND(ROUND(L$8*INPUTS!$C$43/$B$3,0)*INPUTS!$H$43/(ROUND(L$7*INPUTS!$C$43/$B$3,0)+ROUND(L$8*INPUTS!$C$43/$B$3,0)),0),ROUND(L$8*INPUTS!$C$43/$B$3,0)),0)</f>
        <v>0</v>
      </c>
      <c r="M41" s="29" t="n">
        <f aca="false">IF(AND(INPUTS!$B$43="Yes",M$5&gt;INPUTS!$G$43),IF(AND(INPUTS!$H$43&gt;0,(ROUND(M$7*INPUTS!$C$43/$B$3,0)+ROUND(M$8*INPUTS!$C$43/$B$3,0))&gt;INPUTS!$H$43),ROUND(ROUND(M$8*INPUTS!$C$43/$B$3,0)*INPUTS!$H$43/(ROUND(M$7*INPUTS!$C$43/$B$3,0)+ROUND(M$8*INPUTS!$C$43/$B$3,0)),0),ROUND(M$8*INPUTS!$C$43/$B$3,0)),0)</f>
        <v>0</v>
      </c>
      <c r="N41" s="48" t="n">
        <f aca="false">SUM(B41:M41)</f>
        <v>0</v>
      </c>
    </row>
    <row r="42" customFormat="false" ht="15.75" hidden="false" customHeight="true" outlineLevel="0" collapsed="false">
      <c r="A42" s="9" t="s">
        <v>334</v>
      </c>
      <c r="B42" s="41" t="n">
        <f aca="false">B40*INPUTS!$D$43+B41*INPUTS!$E$43</f>
        <v>0</v>
      </c>
      <c r="C42" s="41" t="n">
        <f aca="false">C40*INPUTS!$D$43+C41*INPUTS!$E$43</f>
        <v>0</v>
      </c>
      <c r="D42" s="41" t="n">
        <f aca="false">D40*INPUTS!$D$43+D41*INPUTS!$E$43</f>
        <v>0</v>
      </c>
      <c r="E42" s="41" t="n">
        <f aca="false">E40*INPUTS!$D$43+E41*INPUTS!$E$43</f>
        <v>0</v>
      </c>
      <c r="F42" s="41" t="n">
        <f aca="false">F40*INPUTS!$D$43+F41*INPUTS!$E$43</f>
        <v>0</v>
      </c>
      <c r="G42" s="41" t="n">
        <f aca="false">G40*INPUTS!$D$43+G41*INPUTS!$E$43</f>
        <v>0</v>
      </c>
      <c r="H42" s="41" t="n">
        <f aca="false">H40*INPUTS!$D$43+H41*INPUTS!$E$43</f>
        <v>0</v>
      </c>
      <c r="I42" s="41" t="n">
        <f aca="false">I40*INPUTS!$D$43+I41*INPUTS!$E$43</f>
        <v>0</v>
      </c>
      <c r="J42" s="41" t="n">
        <f aca="false">J40*INPUTS!$D$43+J41*INPUTS!$E$43</f>
        <v>0</v>
      </c>
      <c r="K42" s="41" t="n">
        <f aca="false">K40*INPUTS!$D$43+K41*INPUTS!$E$43</f>
        <v>0</v>
      </c>
      <c r="L42" s="41" t="n">
        <f aca="false">L40*INPUTS!$D$43+L41*INPUTS!$E$43</f>
        <v>0</v>
      </c>
      <c r="M42" s="41" t="n">
        <f aca="false">M40*INPUTS!$D$43+M41*INPUTS!$E$43</f>
        <v>0</v>
      </c>
      <c r="N42" s="50" t="n">
        <f aca="false">SUM(B42:M42)</f>
        <v>0</v>
      </c>
    </row>
    <row r="43" customFormat="false" ht="15.75" hidden="false" customHeight="true" outlineLevel="0" collapsed="false">
      <c r="A43" s="9" t="s">
        <v>335</v>
      </c>
      <c r="B43" s="41" t="n">
        <f aca="false">(B40+B41)*INPUTS!$F$43</f>
        <v>0</v>
      </c>
      <c r="C43" s="41" t="n">
        <f aca="false">(C40+C41)*INPUTS!$F$43</f>
        <v>0</v>
      </c>
      <c r="D43" s="41" t="n">
        <f aca="false">(D40+D41)*INPUTS!$F$43</f>
        <v>0</v>
      </c>
      <c r="E43" s="41" t="n">
        <f aca="false">(E40+E41)*INPUTS!$F$43</f>
        <v>0</v>
      </c>
      <c r="F43" s="41" t="n">
        <f aca="false">(F40+F41)*INPUTS!$F$43</f>
        <v>0</v>
      </c>
      <c r="G43" s="41" t="n">
        <f aca="false">(G40+G41)*INPUTS!$F$43</f>
        <v>0</v>
      </c>
      <c r="H43" s="41" t="n">
        <f aca="false">(H40+H41)*INPUTS!$F$43</f>
        <v>0</v>
      </c>
      <c r="I43" s="41" t="n">
        <f aca="false">(I40+I41)*INPUTS!$F$43</f>
        <v>0</v>
      </c>
      <c r="J43" s="41" t="n">
        <f aca="false">(J40+J41)*INPUTS!$F$43</f>
        <v>0</v>
      </c>
      <c r="K43" s="41" t="n">
        <f aca="false">(K40+K41)*INPUTS!$F$43</f>
        <v>0</v>
      </c>
      <c r="L43" s="41" t="n">
        <f aca="false">(L40+L41)*INPUTS!$F$43</f>
        <v>0</v>
      </c>
      <c r="M43" s="41" t="n">
        <f aca="false">(M40+M41)*INPUTS!$F$43</f>
        <v>0</v>
      </c>
      <c r="N43" s="50" t="n">
        <f aca="false">SUM(B43:M43)</f>
        <v>0</v>
      </c>
    </row>
    <row r="44" customFormat="false" ht="15.75" hidden="false" customHeight="true" outlineLevel="0" collapsed="false"/>
    <row r="45" customFormat="false" ht="15.75" hidden="false" customHeight="true" outlineLevel="0" collapsed="false">
      <c r="A45" s="39" t="s">
        <v>338</v>
      </c>
      <c r="B45" s="49" t="s">
        <v>329</v>
      </c>
      <c r="C45" s="35" t="str">
        <f aca="false">INPUTS!B44</f>
        <v>Yes</v>
      </c>
      <c r="D45" s="49" t="s">
        <v>330</v>
      </c>
      <c r="E45" s="42" t="n">
        <f aca="false">INPUTS!G44</f>
        <v>4</v>
      </c>
      <c r="F45" s="49" t="s">
        <v>331</v>
      </c>
      <c r="G45" s="42" t="n">
        <f aca="false">INPUTS!H44</f>
        <v>9000</v>
      </c>
    </row>
    <row r="46" customFormat="false" ht="15.75" hidden="false" customHeight="true" outlineLevel="0" collapsed="false">
      <c r="A46" s="9" t="s">
        <v>332</v>
      </c>
      <c r="B46" s="29" t="n">
        <f aca="false">IF(AND(INPUTS!$B$44="Yes",B$5&gt;INPUTS!$G$44),IF(AND(INPUTS!$H$44&gt;0,(ROUND(B$7*INPUTS!$C$44/$B$3,0)+ROUND(B$8*INPUTS!$C$44/$B$3,0))&gt;INPUTS!$H$44),ROUND(ROUND(B$7*INPUTS!$C$44/$B$3,0)*INPUTS!$H$44/(ROUND(B$7*INPUTS!$C$44/$B$3,0)+ROUND(B$8*INPUTS!$C$44/$B$3,0)),0),ROUND(B$7*INPUTS!$C$44/$B$3,0)),0)</f>
        <v>0</v>
      </c>
      <c r="C46" s="29" t="n">
        <f aca="false">IF(AND(INPUTS!$B$44="Yes",C$5&gt;INPUTS!$G$44),IF(AND(INPUTS!$H$44&gt;0,(ROUND(C$7*INPUTS!$C$44/$B$3,0)+ROUND(C$8*INPUTS!$C$44/$B$3,0))&gt;INPUTS!$H$44),ROUND(ROUND(C$7*INPUTS!$C$44/$B$3,0)*INPUTS!$H$44/(ROUND(C$7*INPUTS!$C$44/$B$3,0)+ROUND(C$8*INPUTS!$C$44/$B$3,0)),0),ROUND(C$7*INPUTS!$C$44/$B$3,0)),0)</f>
        <v>0</v>
      </c>
      <c r="D46" s="29" t="n">
        <f aca="false">IF(AND(INPUTS!$B$44="Yes",D$5&gt;INPUTS!$G$44),IF(AND(INPUTS!$H$44&gt;0,(ROUND(D$7*INPUTS!$C$44/$B$3,0)+ROUND(D$8*INPUTS!$C$44/$B$3,0))&gt;INPUTS!$H$44),ROUND(ROUND(D$7*INPUTS!$C$44/$B$3,0)*INPUTS!$H$44/(ROUND(D$7*INPUTS!$C$44/$B$3,0)+ROUND(D$8*INPUTS!$C$44/$B$3,0)),0),ROUND(D$7*INPUTS!$C$44/$B$3,0)),0)</f>
        <v>0</v>
      </c>
      <c r="E46" s="29" t="n">
        <f aca="false">IF(AND(INPUTS!$B$44="Yes",E$5&gt;INPUTS!$G$44),IF(AND(INPUTS!$H$44&gt;0,(ROUND(E$7*INPUTS!$C$44/$B$3,0)+ROUND(E$8*INPUTS!$C$44/$B$3,0))&gt;INPUTS!$H$44),ROUND(ROUND(E$7*INPUTS!$C$44/$B$3,0)*INPUTS!$H$44/(ROUND(E$7*INPUTS!$C$44/$B$3,0)+ROUND(E$8*INPUTS!$C$44/$B$3,0)),0),ROUND(E$7*INPUTS!$C$44/$B$3,0)),0)</f>
        <v>0</v>
      </c>
      <c r="F46" s="29" t="n">
        <f aca="false">IF(AND(INPUTS!$B$44="Yes",F$5&gt;INPUTS!$G$44),IF(AND(INPUTS!$H$44&gt;0,(ROUND(F$7*INPUTS!$C$44/$B$3,0)+ROUND(F$8*INPUTS!$C$44/$B$3,0))&gt;INPUTS!$H$44),ROUND(ROUND(F$7*INPUTS!$C$44/$B$3,0)*INPUTS!$H$44/(ROUND(F$7*INPUTS!$C$44/$B$3,0)+ROUND(F$8*INPUTS!$C$44/$B$3,0)),0),ROUND(F$7*INPUTS!$C$44/$B$3,0)),0)</f>
        <v>743</v>
      </c>
      <c r="G46" s="29" t="n">
        <f aca="false">IF(AND(INPUTS!$B$44="Yes",G$5&gt;INPUTS!$G$44),IF(AND(INPUTS!$H$44&gt;0,(ROUND(G$7*INPUTS!$C$44/$B$3,0)+ROUND(G$8*INPUTS!$C$44/$B$3,0))&gt;INPUTS!$H$44),ROUND(ROUND(G$7*INPUTS!$C$44/$B$3,0)*INPUTS!$H$44/(ROUND(G$7*INPUTS!$C$44/$B$3,0)+ROUND(G$8*INPUTS!$C$44/$B$3,0)),0),ROUND(G$7*INPUTS!$C$44/$B$3,0)),0)</f>
        <v>855</v>
      </c>
      <c r="H46" s="29" t="n">
        <f aca="false">IF(AND(INPUTS!$B$44="Yes",H$5&gt;INPUTS!$G$44),IF(AND(INPUTS!$H$44&gt;0,(ROUND(H$7*INPUTS!$C$44/$B$3,0)+ROUND(H$8*INPUTS!$C$44/$B$3,0))&gt;INPUTS!$H$44),ROUND(ROUND(H$7*INPUTS!$C$44/$B$3,0)*INPUTS!$H$44/(ROUND(H$7*INPUTS!$C$44/$B$3,0)+ROUND(H$8*INPUTS!$C$44/$B$3,0)),0),ROUND(H$7*INPUTS!$C$44/$B$3,0)),0)</f>
        <v>975</v>
      </c>
      <c r="I46" s="29" t="n">
        <f aca="false">IF(AND(INPUTS!$B$44="Yes",I$5&gt;INPUTS!$G$44),IF(AND(INPUTS!$H$44&gt;0,(ROUND(I$7*INPUTS!$C$44/$B$3,0)+ROUND(I$8*INPUTS!$C$44/$B$3,0))&gt;INPUTS!$H$44),ROUND(ROUND(I$7*INPUTS!$C$44/$B$3,0)*INPUTS!$H$44/(ROUND(I$7*INPUTS!$C$44/$B$3,0)+ROUND(I$8*INPUTS!$C$44/$B$3,0)),0),ROUND(I$7*INPUTS!$C$44/$B$3,0)),0)</f>
        <v>1050</v>
      </c>
      <c r="J46" s="29" t="n">
        <f aca="false">IF(AND(INPUTS!$B$44="Yes",J$5&gt;INPUTS!$G$44),IF(AND(INPUTS!$H$44&gt;0,(ROUND(J$7*INPUTS!$C$44/$B$3,0)+ROUND(J$8*INPUTS!$C$44/$B$3,0))&gt;INPUTS!$H$44),ROUND(ROUND(J$7*INPUTS!$C$44/$B$3,0)*INPUTS!$H$44/(ROUND(J$7*INPUTS!$C$44/$B$3,0)+ROUND(J$8*INPUTS!$C$44/$B$3,0)),0),ROUND(J$7*INPUTS!$C$44/$B$3,0)),0)</f>
        <v>1069</v>
      </c>
      <c r="K46" s="29" t="n">
        <f aca="false">IF(AND(INPUTS!$B$44="Yes",K$5&gt;INPUTS!$G$44),IF(AND(INPUTS!$H$44&gt;0,(ROUND(K$7*INPUTS!$C$44/$B$3,0)+ROUND(K$8*INPUTS!$C$44/$B$3,0))&gt;INPUTS!$H$44),ROUND(ROUND(K$7*INPUTS!$C$44/$B$3,0)*INPUTS!$H$44/(ROUND(K$7*INPUTS!$C$44/$B$3,0)+ROUND(K$8*INPUTS!$C$44/$B$3,0)),0),ROUND(K$7*INPUTS!$C$44/$B$3,0)),0)</f>
        <v>1140</v>
      </c>
      <c r="L46" s="29" t="n">
        <f aca="false">IF(AND(INPUTS!$B$44="Yes",L$5&gt;INPUTS!$G$44),IF(AND(INPUTS!$H$44&gt;0,(ROUND(L$7*INPUTS!$C$44/$B$3,0)+ROUND(L$8*INPUTS!$C$44/$B$3,0))&gt;INPUTS!$H$44),ROUND(ROUND(L$7*INPUTS!$C$44/$B$3,0)*INPUTS!$H$44/(ROUND(L$7*INPUTS!$C$44/$B$3,0)+ROUND(L$8*INPUTS!$C$44/$B$3,0)),0),ROUND(L$7*INPUTS!$C$44/$B$3,0)),0)</f>
        <v>1275</v>
      </c>
      <c r="M46" s="29" t="n">
        <f aca="false">IF(AND(INPUTS!$B$44="Yes",M$5&gt;INPUTS!$G$44),IF(AND(INPUTS!$H$44&gt;0,(ROUND(M$7*INPUTS!$C$44/$B$3,0)+ROUND(M$8*INPUTS!$C$44/$B$3,0))&gt;INPUTS!$H$44),ROUND(ROUND(M$7*INPUTS!$C$44/$B$3,0)*INPUTS!$H$44/(ROUND(M$7*INPUTS!$C$44/$B$3,0)+ROUND(M$8*INPUTS!$C$44/$B$3,0)),0),ROUND(M$7*INPUTS!$C$44/$B$3,0)),0)</f>
        <v>1350</v>
      </c>
      <c r="N46" s="48" t="n">
        <f aca="false">SUM(B46:M46)</f>
        <v>8457</v>
      </c>
    </row>
    <row r="47" customFormat="false" ht="15.75" hidden="false" customHeight="true" outlineLevel="0" collapsed="false">
      <c r="A47" s="9" t="s">
        <v>333</v>
      </c>
      <c r="B47" s="29" t="n">
        <f aca="false">IF(AND(INPUTS!$B$44="Yes",B$5&gt;INPUTS!$G$44),IF(AND(INPUTS!$H$44&gt;0,(ROUND(B$7*INPUTS!$C$44/$B$3,0)+ROUND(B$8*INPUTS!$C$44/$B$3,0))&gt;INPUTS!$H$44),ROUND(ROUND(B$8*INPUTS!$C$44/$B$3,0)*INPUTS!$H$44/(ROUND(B$7*INPUTS!$C$44/$B$3,0)+ROUND(B$8*INPUTS!$C$44/$B$3,0)),0),ROUND(B$8*INPUTS!$C$44/$B$3,0)),0)</f>
        <v>0</v>
      </c>
      <c r="C47" s="29" t="n">
        <f aca="false">IF(AND(INPUTS!$B$44="Yes",C$5&gt;INPUTS!$G$44),IF(AND(INPUTS!$H$44&gt;0,(ROUND(C$7*INPUTS!$C$44/$B$3,0)+ROUND(C$8*INPUTS!$C$44/$B$3,0))&gt;INPUTS!$H$44),ROUND(ROUND(C$8*INPUTS!$C$44/$B$3,0)*INPUTS!$H$44/(ROUND(C$7*INPUTS!$C$44/$B$3,0)+ROUND(C$8*INPUTS!$C$44/$B$3,0)),0),ROUND(C$8*INPUTS!$C$44/$B$3,0)),0)</f>
        <v>0</v>
      </c>
      <c r="D47" s="29" t="n">
        <f aca="false">IF(AND(INPUTS!$B$44="Yes",D$5&gt;INPUTS!$G$44),IF(AND(INPUTS!$H$44&gt;0,(ROUND(D$7*INPUTS!$C$44/$B$3,0)+ROUND(D$8*INPUTS!$C$44/$B$3,0))&gt;INPUTS!$H$44),ROUND(ROUND(D$8*INPUTS!$C$44/$B$3,0)*INPUTS!$H$44/(ROUND(D$7*INPUTS!$C$44/$B$3,0)+ROUND(D$8*INPUTS!$C$44/$B$3,0)),0),ROUND(D$8*INPUTS!$C$44/$B$3,0)),0)</f>
        <v>0</v>
      </c>
      <c r="E47" s="29" t="n">
        <f aca="false">IF(AND(INPUTS!$B$44="Yes",E$5&gt;INPUTS!$G$44),IF(AND(INPUTS!$H$44&gt;0,(ROUND(E$7*INPUTS!$C$44/$B$3,0)+ROUND(E$8*INPUTS!$C$44/$B$3,0))&gt;INPUTS!$H$44),ROUND(ROUND(E$8*INPUTS!$C$44/$B$3,0)*INPUTS!$H$44/(ROUND(E$7*INPUTS!$C$44/$B$3,0)+ROUND(E$8*INPUTS!$C$44/$B$3,0)),0),ROUND(E$8*INPUTS!$C$44/$B$3,0)),0)</f>
        <v>0</v>
      </c>
      <c r="F47" s="29" t="n">
        <f aca="false">IF(AND(INPUTS!$B$44="Yes",F$5&gt;INPUTS!$G$44),IF(AND(INPUTS!$H$44&gt;0,(ROUND(F$7*INPUTS!$C$44/$B$3,0)+ROUND(F$8*INPUTS!$C$44/$B$3,0))&gt;INPUTS!$H$44),ROUND(ROUND(F$8*INPUTS!$C$44/$B$3,0)*INPUTS!$H$44/(ROUND(F$7*INPUTS!$C$44/$B$3,0)+ROUND(F$8*INPUTS!$C$44/$B$3,0)),0),ROUND(F$8*INPUTS!$C$44/$B$3,0)),0)</f>
        <v>825</v>
      </c>
      <c r="G47" s="29" t="n">
        <f aca="false">IF(AND(INPUTS!$B$44="Yes",G$5&gt;INPUTS!$G$44),IF(AND(INPUTS!$H$44&gt;0,(ROUND(G$7*INPUTS!$C$44/$B$3,0)+ROUND(G$8*INPUTS!$C$44/$B$3,0))&gt;INPUTS!$H$44),ROUND(ROUND(G$8*INPUTS!$C$44/$B$3,0)*INPUTS!$H$44/(ROUND(G$7*INPUTS!$C$44/$B$3,0)+ROUND(G$8*INPUTS!$C$44/$B$3,0)),0),ROUND(G$8*INPUTS!$C$44/$B$3,0)),0)</f>
        <v>990</v>
      </c>
      <c r="H47" s="29" t="n">
        <f aca="false">IF(AND(INPUTS!$B$44="Yes",H$5&gt;INPUTS!$G$44),IF(AND(INPUTS!$H$44&gt;0,(ROUND(H$7*INPUTS!$C$44/$B$3,0)+ROUND(H$8*INPUTS!$C$44/$B$3,0))&gt;INPUTS!$H$44),ROUND(ROUND(H$8*INPUTS!$C$44/$B$3,0)*INPUTS!$H$44/(ROUND(H$7*INPUTS!$C$44/$B$3,0)+ROUND(H$8*INPUTS!$C$44/$B$3,0)),0),ROUND(H$8*INPUTS!$C$44/$B$3,0)),0)</f>
        <v>1125</v>
      </c>
      <c r="I47" s="29" t="n">
        <f aca="false">IF(AND(INPUTS!$B$44="Yes",I$5&gt;INPUTS!$G$44),IF(AND(INPUTS!$H$44&gt;0,(ROUND(I$7*INPUTS!$C$44/$B$3,0)+ROUND(I$8*INPUTS!$C$44/$B$3,0))&gt;INPUTS!$H$44),ROUND(ROUND(I$8*INPUTS!$C$44/$B$3,0)*INPUTS!$H$44/(ROUND(I$7*INPUTS!$C$44/$B$3,0)+ROUND(I$8*INPUTS!$C$44/$B$3,0)),0),ROUND(I$8*INPUTS!$C$44/$B$3,0)),0)</f>
        <v>1170</v>
      </c>
      <c r="J47" s="29" t="n">
        <f aca="false">IF(AND(INPUTS!$B$44="Yes",J$5&gt;INPUTS!$G$44),IF(AND(INPUTS!$H$44&gt;0,(ROUND(J$7*INPUTS!$C$44/$B$3,0)+ROUND(J$8*INPUTS!$C$44/$B$3,0))&gt;INPUTS!$H$44),ROUND(ROUND(J$8*INPUTS!$C$44/$B$3,0)*INPUTS!$H$44/(ROUND(J$7*INPUTS!$C$44/$B$3,0)+ROUND(J$8*INPUTS!$C$44/$B$3,0)),0),ROUND(J$8*INPUTS!$C$44/$B$3,0)),0)</f>
        <v>1103</v>
      </c>
      <c r="K47" s="29" t="n">
        <f aca="false">IF(AND(INPUTS!$B$44="Yes",K$5&gt;INPUTS!$G$44),IF(AND(INPUTS!$H$44&gt;0,(ROUND(K$7*INPUTS!$C$44/$B$3,0)+ROUND(K$8*INPUTS!$C$44/$B$3,0))&gt;INPUTS!$H$44),ROUND(ROUND(K$8*INPUTS!$C$44/$B$3,0)*INPUTS!$H$44/(ROUND(K$7*INPUTS!$C$44/$B$3,0)+ROUND(K$8*INPUTS!$C$44/$B$3,0)),0),ROUND(K$8*INPUTS!$C$44/$B$3,0)),0)</f>
        <v>1013</v>
      </c>
      <c r="L47" s="29" t="n">
        <f aca="false">IF(AND(INPUTS!$B$44="Yes",L$5&gt;INPUTS!$G$44),IF(AND(INPUTS!$H$44&gt;0,(ROUND(L$7*INPUTS!$C$44/$B$3,0)+ROUND(L$8*INPUTS!$C$44/$B$3,0))&gt;INPUTS!$H$44),ROUND(ROUND(L$8*INPUTS!$C$44/$B$3,0)*INPUTS!$H$44/(ROUND(L$7*INPUTS!$C$44/$B$3,0)+ROUND(L$8*INPUTS!$C$44/$B$3,0)),0),ROUND(L$8*INPUTS!$C$44/$B$3,0)),0)</f>
        <v>1020</v>
      </c>
      <c r="M47" s="29" t="n">
        <f aca="false">IF(AND(INPUTS!$B$44="Yes",M$5&gt;INPUTS!$G$44),IF(AND(INPUTS!$H$44&gt;0,(ROUND(M$7*INPUTS!$C$44/$B$3,0)+ROUND(M$8*INPUTS!$C$44/$B$3,0))&gt;INPUTS!$H$44),ROUND(ROUND(M$8*INPUTS!$C$44/$B$3,0)*INPUTS!$H$44/(ROUND(M$7*INPUTS!$C$44/$B$3,0)+ROUND(M$8*INPUTS!$C$44/$B$3,0)),0),ROUND(M$8*INPUTS!$C$44/$B$3,0)),0)</f>
        <v>1084</v>
      </c>
      <c r="N47" s="48" t="n">
        <f aca="false">SUM(B47:M47)</f>
        <v>8330</v>
      </c>
    </row>
    <row r="48" customFormat="false" ht="15.75" hidden="false" customHeight="true" outlineLevel="0" collapsed="false">
      <c r="A48" s="9" t="s">
        <v>334</v>
      </c>
      <c r="B48" s="41" t="n">
        <f aca="false">B46*INPUTS!$D$44+B47*INPUTS!$E$44</f>
        <v>0</v>
      </c>
      <c r="C48" s="41" t="n">
        <f aca="false">C46*INPUTS!$D$44+C47*INPUTS!$E$44</f>
        <v>0</v>
      </c>
      <c r="D48" s="41" t="n">
        <f aca="false">D46*INPUTS!$D$44+D47*INPUTS!$E$44</f>
        <v>0</v>
      </c>
      <c r="E48" s="41" t="n">
        <f aca="false">E46*INPUTS!$D$44+E47*INPUTS!$E$44</f>
        <v>0</v>
      </c>
      <c r="F48" s="41" t="n">
        <f aca="false">F46*INPUTS!$D$44+F47*INPUTS!$E$44</f>
        <v>2674.05</v>
      </c>
      <c r="G48" s="41" t="n">
        <f aca="false">G46*INPUTS!$D$44+G47*INPUTS!$E$44</f>
        <v>3132</v>
      </c>
      <c r="H48" s="41" t="n">
        <f aca="false">H46*INPUTS!$D$44+H47*INPUTS!$E$44</f>
        <v>3566.25</v>
      </c>
      <c r="I48" s="41" t="n">
        <f aca="false">I46*INPUTS!$D$44+I47*INPUTS!$E$44</f>
        <v>3784.5</v>
      </c>
      <c r="J48" s="41" t="n">
        <f aca="false">J46*INPUTS!$D$44+J47*INPUTS!$E$44</f>
        <v>3733.95</v>
      </c>
      <c r="K48" s="41" t="n">
        <f aca="false">K46*INPUTS!$D$44+K47*INPUTS!$E$44</f>
        <v>3761.55</v>
      </c>
      <c r="L48" s="41" t="n">
        <f aca="false">L46*INPUTS!$D$44+L47*INPUTS!$E$44</f>
        <v>4054.5</v>
      </c>
      <c r="M48" s="41" t="n">
        <f aca="false">M46*INPUTS!$D$44+M47*INPUTS!$E$44</f>
        <v>4298.4</v>
      </c>
      <c r="N48" s="50" t="n">
        <f aca="false">SUM(B48:M48)</f>
        <v>29005.2</v>
      </c>
    </row>
    <row r="49" customFormat="false" ht="15.75" hidden="false" customHeight="true" outlineLevel="0" collapsed="false">
      <c r="A49" s="9" t="s">
        <v>335</v>
      </c>
      <c r="B49" s="41" t="n">
        <f aca="false">(B46+B47)*INPUTS!$F$44</f>
        <v>0</v>
      </c>
      <c r="C49" s="41" t="n">
        <f aca="false">(C46+C47)*INPUTS!$F$44</f>
        <v>0</v>
      </c>
      <c r="D49" s="41" t="n">
        <f aca="false">(D46+D47)*INPUTS!$F$44</f>
        <v>0</v>
      </c>
      <c r="E49" s="41" t="n">
        <f aca="false">(E46+E47)*INPUTS!$F$44</f>
        <v>0</v>
      </c>
      <c r="F49" s="41" t="n">
        <f aca="false">(F46+F47)*INPUTS!$F$44</f>
        <v>658.56</v>
      </c>
      <c r="G49" s="41" t="n">
        <f aca="false">(G46+G47)*INPUTS!$F$44</f>
        <v>774.9</v>
      </c>
      <c r="H49" s="41" t="n">
        <f aca="false">(H46+H47)*INPUTS!$F$44</f>
        <v>882</v>
      </c>
      <c r="I49" s="41" t="n">
        <f aca="false">(I46+I47)*INPUTS!$F$44</f>
        <v>932.4</v>
      </c>
      <c r="J49" s="41" t="n">
        <f aca="false">(J46+J47)*INPUTS!$F$44</f>
        <v>912.24</v>
      </c>
      <c r="K49" s="41" t="n">
        <f aca="false">(K46+K47)*INPUTS!$F$44</f>
        <v>904.26</v>
      </c>
      <c r="L49" s="41" t="n">
        <f aca="false">(L46+L47)*INPUTS!$F$44</f>
        <v>963.9</v>
      </c>
      <c r="M49" s="41" t="n">
        <f aca="false">(M46+M47)*INPUTS!$F$44</f>
        <v>1022.28</v>
      </c>
      <c r="N49" s="50" t="n">
        <f aca="false">SUM(B49:M49)</f>
        <v>7050.54</v>
      </c>
    </row>
    <row r="50" customFormat="false" ht="15.75" hidden="false" customHeight="true" outlineLevel="0" collapsed="false"/>
    <row r="51" customFormat="false" ht="15.75" hidden="false" customHeight="true" outlineLevel="0" collapsed="false">
      <c r="A51" s="39" t="s">
        <v>339</v>
      </c>
      <c r="B51" s="49" t="s">
        <v>329</v>
      </c>
      <c r="C51" s="35" t="str">
        <f aca="false">INPUTS!B45</f>
        <v>Yes</v>
      </c>
      <c r="D51" s="49" t="s">
        <v>330</v>
      </c>
      <c r="E51" s="42" t="n">
        <f aca="false">INPUTS!G45</f>
        <v>3</v>
      </c>
      <c r="F51" s="49" t="s">
        <v>331</v>
      </c>
      <c r="G51" s="42" t="n">
        <f aca="false">INPUTS!H45</f>
        <v>4500</v>
      </c>
    </row>
    <row r="52" customFormat="false" ht="15.75" hidden="false" customHeight="true" outlineLevel="0" collapsed="false">
      <c r="A52" s="9" t="s">
        <v>332</v>
      </c>
      <c r="B52" s="29" t="n">
        <f aca="false">IF(AND(INPUTS!$B$45="Yes",B$5&gt;INPUTS!$G$45),IF(AND(INPUTS!$H$45&gt;0,(ROUND(B$7*INPUTS!$C$45/$B$3,0)+ROUND(B$8*INPUTS!$C$45/$B$3,0))&gt;INPUTS!$H$45),ROUND(ROUND(B$7*INPUTS!$C$45/$B$3,0)*INPUTS!$H$45/(ROUND(B$7*INPUTS!$C$45/$B$3,0)+ROUND(B$8*INPUTS!$C$45/$B$3,0)),0),ROUND(B$7*INPUTS!$C$45/$B$3,0)),0)</f>
        <v>0</v>
      </c>
      <c r="C52" s="29" t="n">
        <f aca="false">IF(AND(INPUTS!$B$45="Yes",C$5&gt;INPUTS!$G$45),IF(AND(INPUTS!$H$45&gt;0,(ROUND(C$7*INPUTS!$C$45/$B$3,0)+ROUND(C$8*INPUTS!$C$45/$B$3,0))&gt;INPUTS!$H$45),ROUND(ROUND(C$7*INPUTS!$C$45/$B$3,0)*INPUTS!$H$45/(ROUND(C$7*INPUTS!$C$45/$B$3,0)+ROUND(C$8*INPUTS!$C$45/$B$3,0)),0),ROUND(C$7*INPUTS!$C$45/$B$3,0)),0)</f>
        <v>0</v>
      </c>
      <c r="D52" s="29" t="n">
        <f aca="false">IF(AND(INPUTS!$B$45="Yes",D$5&gt;INPUTS!$G$45),IF(AND(INPUTS!$H$45&gt;0,(ROUND(D$7*INPUTS!$C$45/$B$3,0)+ROUND(D$8*INPUTS!$C$45/$B$3,0))&gt;INPUTS!$H$45),ROUND(ROUND(D$7*INPUTS!$C$45/$B$3,0)*INPUTS!$H$45/(ROUND(D$7*INPUTS!$C$45/$B$3,0)+ROUND(D$8*INPUTS!$C$45/$B$3,0)),0),ROUND(D$7*INPUTS!$C$45/$B$3,0)),0)</f>
        <v>0</v>
      </c>
      <c r="E52" s="29" t="n">
        <f aca="false">IF(AND(INPUTS!$B$45="Yes",E$5&gt;INPUTS!$G$45),IF(AND(INPUTS!$H$45&gt;0,(ROUND(E$7*INPUTS!$C$45/$B$3,0)+ROUND(E$8*INPUTS!$C$45/$B$3,0))&gt;INPUTS!$H$45),ROUND(ROUND(E$7*INPUTS!$C$45/$B$3,0)*INPUTS!$H$45/(ROUND(E$7*INPUTS!$C$45/$B$3,0)+ROUND(E$8*INPUTS!$C$45/$B$3,0)),0),ROUND(E$7*INPUTS!$C$45/$B$3,0)),0)</f>
        <v>380</v>
      </c>
      <c r="F52" s="29" t="n">
        <f aca="false">IF(AND(INPUTS!$B$45="Yes",F$5&gt;INPUTS!$G$45),IF(AND(INPUTS!$H$45&gt;0,(ROUND(F$7*INPUTS!$C$45/$B$3,0)+ROUND(F$8*INPUTS!$C$45/$B$3,0))&gt;INPUTS!$H$45),ROUND(ROUND(F$7*INPUTS!$C$45/$B$3,0)*INPUTS!$H$45/(ROUND(F$7*INPUTS!$C$45/$B$3,0)+ROUND(F$8*INPUTS!$C$45/$B$3,0)),0),ROUND(F$7*INPUTS!$C$45/$B$3,0)),0)</f>
        <v>396</v>
      </c>
      <c r="G52" s="29" t="n">
        <f aca="false">IF(AND(INPUTS!$B$45="Yes",G$5&gt;INPUTS!$G$45),IF(AND(INPUTS!$H$45&gt;0,(ROUND(G$7*INPUTS!$C$45/$B$3,0)+ROUND(G$8*INPUTS!$C$45/$B$3,0))&gt;INPUTS!$H$45),ROUND(ROUND(G$7*INPUTS!$C$45/$B$3,0)*INPUTS!$H$45/(ROUND(G$7*INPUTS!$C$45/$B$3,0)+ROUND(G$8*INPUTS!$C$45/$B$3,0)),0),ROUND(G$7*INPUTS!$C$45/$B$3,0)),0)</f>
        <v>456</v>
      </c>
      <c r="H52" s="29" t="n">
        <f aca="false">IF(AND(INPUTS!$B$45="Yes",H$5&gt;INPUTS!$G$45),IF(AND(INPUTS!$H$45&gt;0,(ROUND(H$7*INPUTS!$C$45/$B$3,0)+ROUND(H$8*INPUTS!$C$45/$B$3,0))&gt;INPUTS!$H$45),ROUND(ROUND(H$7*INPUTS!$C$45/$B$3,0)*INPUTS!$H$45/(ROUND(H$7*INPUTS!$C$45/$B$3,0)+ROUND(H$8*INPUTS!$C$45/$B$3,0)),0),ROUND(H$7*INPUTS!$C$45/$B$3,0)),0)</f>
        <v>520</v>
      </c>
      <c r="I52" s="29" t="n">
        <f aca="false">IF(AND(INPUTS!$B$45="Yes",I$5&gt;INPUTS!$G$45),IF(AND(INPUTS!$H$45&gt;0,(ROUND(I$7*INPUTS!$C$45/$B$3,0)+ROUND(I$8*INPUTS!$C$45/$B$3,0))&gt;INPUTS!$H$45),ROUND(ROUND(I$7*INPUTS!$C$45/$B$3,0)*INPUTS!$H$45/(ROUND(I$7*INPUTS!$C$45/$B$3,0)+ROUND(I$8*INPUTS!$C$45/$B$3,0)),0),ROUND(I$7*INPUTS!$C$45/$B$3,0)),0)</f>
        <v>560</v>
      </c>
      <c r="J52" s="29" t="n">
        <f aca="false">IF(AND(INPUTS!$B$45="Yes",J$5&gt;INPUTS!$G$45),IF(AND(INPUTS!$H$45&gt;0,(ROUND(J$7*INPUTS!$C$45/$B$3,0)+ROUND(J$8*INPUTS!$C$45/$B$3,0))&gt;INPUTS!$H$45),ROUND(ROUND(J$7*INPUTS!$C$45/$B$3,0)*INPUTS!$H$45/(ROUND(J$7*INPUTS!$C$45/$B$3,0)+ROUND(J$8*INPUTS!$C$45/$B$3,0)),0),ROUND(J$7*INPUTS!$C$45/$B$3,0)),0)</f>
        <v>570</v>
      </c>
      <c r="K52" s="29" t="n">
        <f aca="false">IF(AND(INPUTS!$B$45="Yes",K$5&gt;INPUTS!$G$45),IF(AND(INPUTS!$H$45&gt;0,(ROUND(K$7*INPUTS!$C$45/$B$3,0)+ROUND(K$8*INPUTS!$C$45/$B$3,0))&gt;INPUTS!$H$45),ROUND(ROUND(K$7*INPUTS!$C$45/$B$3,0)*INPUTS!$H$45/(ROUND(K$7*INPUTS!$C$45/$B$3,0)+ROUND(K$8*INPUTS!$C$45/$B$3,0)),0),ROUND(K$7*INPUTS!$C$45/$B$3,0)),0)</f>
        <v>608</v>
      </c>
      <c r="L52" s="29" t="n">
        <f aca="false">IF(AND(INPUTS!$B$45="Yes",L$5&gt;INPUTS!$G$45),IF(AND(INPUTS!$H$45&gt;0,(ROUND(L$7*INPUTS!$C$45/$B$3,0)+ROUND(L$8*INPUTS!$C$45/$B$3,0))&gt;INPUTS!$H$45),ROUND(ROUND(L$7*INPUTS!$C$45/$B$3,0)*INPUTS!$H$45/(ROUND(L$7*INPUTS!$C$45/$B$3,0)+ROUND(L$8*INPUTS!$C$45/$B$3,0)),0),ROUND(L$7*INPUTS!$C$45/$B$3,0)),0)</f>
        <v>680</v>
      </c>
      <c r="M52" s="29" t="n">
        <f aca="false">IF(AND(INPUTS!$B$45="Yes",M$5&gt;INPUTS!$G$45),IF(AND(INPUTS!$H$45&gt;0,(ROUND(M$7*INPUTS!$C$45/$B$3,0)+ROUND(M$8*INPUTS!$C$45/$B$3,0))&gt;INPUTS!$H$45),ROUND(ROUND(M$7*INPUTS!$C$45/$B$3,0)*INPUTS!$H$45/(ROUND(M$7*INPUTS!$C$45/$B$3,0)+ROUND(M$8*INPUTS!$C$45/$B$3,0)),0),ROUND(M$7*INPUTS!$C$45/$B$3,0)),0)</f>
        <v>720</v>
      </c>
      <c r="N52" s="48" t="n">
        <f aca="false">SUM(B52:M52)</f>
        <v>4890</v>
      </c>
    </row>
    <row r="53" customFormat="false" ht="15.75" hidden="false" customHeight="true" outlineLevel="0" collapsed="false">
      <c r="A53" s="9" t="s">
        <v>333</v>
      </c>
      <c r="B53" s="29" t="n">
        <f aca="false">IF(AND(INPUTS!$B$45="Yes",B$5&gt;INPUTS!$G$45),IF(AND(INPUTS!$H$45&gt;0,(ROUND(B$7*INPUTS!$C$45/$B$3,0)+ROUND(B$8*INPUTS!$C$45/$B$3,0))&gt;INPUTS!$H$45),ROUND(ROUND(B$8*INPUTS!$C$45/$B$3,0)*INPUTS!$H$45/(ROUND(B$7*INPUTS!$C$45/$B$3,0)+ROUND(B$8*INPUTS!$C$45/$B$3,0)),0),ROUND(B$8*INPUTS!$C$45/$B$3,0)),0)</f>
        <v>0</v>
      </c>
      <c r="C53" s="29" t="n">
        <f aca="false">IF(AND(INPUTS!$B$45="Yes",C$5&gt;INPUTS!$G$45),IF(AND(INPUTS!$H$45&gt;0,(ROUND(C$7*INPUTS!$C$45/$B$3,0)+ROUND(C$8*INPUTS!$C$45/$B$3,0))&gt;INPUTS!$H$45),ROUND(ROUND(C$8*INPUTS!$C$45/$B$3,0)*INPUTS!$H$45/(ROUND(C$7*INPUTS!$C$45/$B$3,0)+ROUND(C$8*INPUTS!$C$45/$B$3,0)),0),ROUND(C$8*INPUTS!$C$45/$B$3,0)),0)</f>
        <v>0</v>
      </c>
      <c r="D53" s="29" t="n">
        <f aca="false">IF(AND(INPUTS!$B$45="Yes",D$5&gt;INPUTS!$G$45),IF(AND(INPUTS!$H$45&gt;0,(ROUND(D$7*INPUTS!$C$45/$B$3,0)+ROUND(D$8*INPUTS!$C$45/$B$3,0))&gt;INPUTS!$H$45),ROUND(ROUND(D$8*INPUTS!$C$45/$B$3,0)*INPUTS!$H$45/(ROUND(D$7*INPUTS!$C$45/$B$3,0)+ROUND(D$8*INPUTS!$C$45/$B$3,0)),0),ROUND(D$8*INPUTS!$C$45/$B$3,0)),0)</f>
        <v>0</v>
      </c>
      <c r="E53" s="29" t="n">
        <f aca="false">IF(AND(INPUTS!$B$45="Yes",E$5&gt;INPUTS!$G$45),IF(AND(INPUTS!$H$45&gt;0,(ROUND(E$7*INPUTS!$C$45/$B$3,0)+ROUND(E$8*INPUTS!$C$45/$B$3,0))&gt;INPUTS!$H$45),ROUND(ROUND(E$8*INPUTS!$C$45/$B$3,0)*INPUTS!$H$45/(ROUND(E$7*INPUTS!$C$45/$B$3,0)+ROUND(E$8*INPUTS!$C$45/$B$3,0)),0),ROUND(E$8*INPUTS!$C$45/$B$3,0)),0)</f>
        <v>360</v>
      </c>
      <c r="F53" s="29" t="n">
        <f aca="false">IF(AND(INPUTS!$B$45="Yes",F$5&gt;INPUTS!$G$45),IF(AND(INPUTS!$H$45&gt;0,(ROUND(F$7*INPUTS!$C$45/$B$3,0)+ROUND(F$8*INPUTS!$C$45/$B$3,0))&gt;INPUTS!$H$45),ROUND(ROUND(F$8*INPUTS!$C$45/$B$3,0)*INPUTS!$H$45/(ROUND(F$7*INPUTS!$C$45/$B$3,0)+ROUND(F$8*INPUTS!$C$45/$B$3,0)),0),ROUND(F$8*INPUTS!$C$45/$B$3,0)),0)</f>
        <v>440</v>
      </c>
      <c r="G53" s="29" t="n">
        <f aca="false">IF(AND(INPUTS!$B$45="Yes",G$5&gt;INPUTS!$G$45),IF(AND(INPUTS!$H$45&gt;0,(ROUND(G$7*INPUTS!$C$45/$B$3,0)+ROUND(G$8*INPUTS!$C$45/$B$3,0))&gt;INPUTS!$H$45),ROUND(ROUND(G$8*INPUTS!$C$45/$B$3,0)*INPUTS!$H$45/(ROUND(G$7*INPUTS!$C$45/$B$3,0)+ROUND(G$8*INPUTS!$C$45/$B$3,0)),0),ROUND(G$8*INPUTS!$C$45/$B$3,0)),0)</f>
        <v>528</v>
      </c>
      <c r="H53" s="29" t="n">
        <f aca="false">IF(AND(INPUTS!$B$45="Yes",H$5&gt;INPUTS!$G$45),IF(AND(INPUTS!$H$45&gt;0,(ROUND(H$7*INPUTS!$C$45/$B$3,0)+ROUND(H$8*INPUTS!$C$45/$B$3,0))&gt;INPUTS!$H$45),ROUND(ROUND(H$8*INPUTS!$C$45/$B$3,0)*INPUTS!$H$45/(ROUND(H$7*INPUTS!$C$45/$B$3,0)+ROUND(H$8*INPUTS!$C$45/$B$3,0)),0),ROUND(H$8*INPUTS!$C$45/$B$3,0)),0)</f>
        <v>600</v>
      </c>
      <c r="I53" s="29" t="n">
        <f aca="false">IF(AND(INPUTS!$B$45="Yes",I$5&gt;INPUTS!$G$45),IF(AND(INPUTS!$H$45&gt;0,(ROUND(I$7*INPUTS!$C$45/$B$3,0)+ROUND(I$8*INPUTS!$C$45/$B$3,0))&gt;INPUTS!$H$45),ROUND(ROUND(I$8*INPUTS!$C$45/$B$3,0)*INPUTS!$H$45/(ROUND(I$7*INPUTS!$C$45/$B$3,0)+ROUND(I$8*INPUTS!$C$45/$B$3,0)),0),ROUND(I$8*INPUTS!$C$45/$B$3,0)),0)</f>
        <v>624</v>
      </c>
      <c r="J53" s="29" t="n">
        <f aca="false">IF(AND(INPUTS!$B$45="Yes",J$5&gt;INPUTS!$G$45),IF(AND(INPUTS!$H$45&gt;0,(ROUND(J$7*INPUTS!$C$45/$B$3,0)+ROUND(J$8*INPUTS!$C$45/$B$3,0))&gt;INPUTS!$H$45),ROUND(ROUND(J$8*INPUTS!$C$45/$B$3,0)*INPUTS!$H$45/(ROUND(J$7*INPUTS!$C$45/$B$3,0)+ROUND(J$8*INPUTS!$C$45/$B$3,0)),0),ROUND(J$8*INPUTS!$C$45/$B$3,0)),0)</f>
        <v>588</v>
      </c>
      <c r="K53" s="29" t="n">
        <f aca="false">IF(AND(INPUTS!$B$45="Yes",K$5&gt;INPUTS!$G$45),IF(AND(INPUTS!$H$45&gt;0,(ROUND(K$7*INPUTS!$C$45/$B$3,0)+ROUND(K$8*INPUTS!$C$45/$B$3,0))&gt;INPUTS!$H$45),ROUND(ROUND(K$8*INPUTS!$C$45/$B$3,0)*INPUTS!$H$45/(ROUND(K$7*INPUTS!$C$45/$B$3,0)+ROUND(K$8*INPUTS!$C$45/$B$3,0)),0),ROUND(K$8*INPUTS!$C$45/$B$3,0)),0)</f>
        <v>540</v>
      </c>
      <c r="L53" s="29" t="n">
        <f aca="false">IF(AND(INPUTS!$B$45="Yes",L$5&gt;INPUTS!$G$45),IF(AND(INPUTS!$H$45&gt;0,(ROUND(L$7*INPUTS!$C$45/$B$3,0)+ROUND(L$8*INPUTS!$C$45/$B$3,0))&gt;INPUTS!$H$45),ROUND(ROUND(L$8*INPUTS!$C$45/$B$3,0)*INPUTS!$H$45/(ROUND(L$7*INPUTS!$C$45/$B$3,0)+ROUND(L$8*INPUTS!$C$45/$B$3,0)),0),ROUND(L$8*INPUTS!$C$45/$B$3,0)),0)</f>
        <v>544</v>
      </c>
      <c r="M53" s="29" t="n">
        <f aca="false">IF(AND(INPUTS!$B$45="Yes",M$5&gt;INPUTS!$G$45),IF(AND(INPUTS!$H$45&gt;0,(ROUND(M$7*INPUTS!$C$45/$B$3,0)+ROUND(M$8*INPUTS!$C$45/$B$3,0))&gt;INPUTS!$H$45),ROUND(ROUND(M$8*INPUTS!$C$45/$B$3,0)*INPUTS!$H$45/(ROUND(M$7*INPUTS!$C$45/$B$3,0)+ROUND(M$8*INPUTS!$C$45/$B$3,0)),0),ROUND(M$8*INPUTS!$C$45/$B$3,0)),0)</f>
        <v>578</v>
      </c>
      <c r="N53" s="48" t="n">
        <f aca="false">SUM(B53:M53)</f>
        <v>4802</v>
      </c>
    </row>
    <row r="54" customFormat="false" ht="15.75" hidden="false" customHeight="true" outlineLevel="0" collapsed="false">
      <c r="A54" s="9" t="s">
        <v>334</v>
      </c>
      <c r="B54" s="41" t="n">
        <f aca="false">B52*INPUTS!$D$45+B53*INPUTS!$E$45</f>
        <v>0</v>
      </c>
      <c r="C54" s="41" t="n">
        <f aca="false">C52*INPUTS!$D$45+C53*INPUTS!$E$45</f>
        <v>0</v>
      </c>
      <c r="D54" s="41" t="n">
        <f aca="false">D52*INPUTS!$D$45+D53*INPUTS!$E$45</f>
        <v>0</v>
      </c>
      <c r="E54" s="41" t="n">
        <f aca="false">E52*INPUTS!$D$45+E53*INPUTS!$E$45</f>
        <v>1191</v>
      </c>
      <c r="F54" s="41" t="n">
        <f aca="false">F52*INPUTS!$D$45+F53*INPUTS!$E$45</f>
        <v>1322.2</v>
      </c>
      <c r="G54" s="41" t="n">
        <f aca="false">G52*INPUTS!$D$45+G53*INPUTS!$E$45</f>
        <v>1549.2</v>
      </c>
      <c r="H54" s="41" t="n">
        <f aca="false">H52*INPUTS!$D$45+H53*INPUTS!$E$45</f>
        <v>1764</v>
      </c>
      <c r="I54" s="41" t="n">
        <f aca="false">I52*INPUTS!$D$45+I53*INPUTS!$E$45</f>
        <v>1872</v>
      </c>
      <c r="J54" s="41" t="n">
        <f aca="false">J52*INPUTS!$D$45+J53*INPUTS!$E$45</f>
        <v>1846.5</v>
      </c>
      <c r="K54" s="41" t="n">
        <f aca="false">K52*INPUTS!$D$45+K53*INPUTS!$E$45</f>
        <v>1860.6</v>
      </c>
      <c r="L54" s="41" t="n">
        <f aca="false">L52*INPUTS!$D$45+L53*INPUTS!$E$45</f>
        <v>2006</v>
      </c>
      <c r="M54" s="41" t="n">
        <f aca="false">M52*INPUTS!$D$45+M53*INPUTS!$E$45</f>
        <v>2126.5</v>
      </c>
      <c r="N54" s="50" t="n">
        <f aca="false">SUM(B54:M54)</f>
        <v>15538</v>
      </c>
    </row>
    <row r="55" customFormat="false" ht="15.75" hidden="false" customHeight="true" outlineLevel="0" collapsed="false">
      <c r="A55" s="9" t="s">
        <v>335</v>
      </c>
      <c r="B55" s="41" t="n">
        <f aca="false">(B52+B53)*INPUTS!$F$45</f>
        <v>0</v>
      </c>
      <c r="C55" s="41" t="n">
        <f aca="false">(C52+C53)*INPUTS!$F$45</f>
        <v>0</v>
      </c>
      <c r="D55" s="41" t="n">
        <f aca="false">(D52+D53)*INPUTS!$F$45</f>
        <v>0</v>
      </c>
      <c r="E55" s="41" t="n">
        <f aca="false">(E52+E53)*INPUTS!$F$45</f>
        <v>222</v>
      </c>
      <c r="F55" s="41" t="n">
        <f aca="false">(F52+F53)*INPUTS!$F$45</f>
        <v>250.8</v>
      </c>
      <c r="G55" s="41" t="n">
        <f aca="false">(G52+G53)*INPUTS!$F$45</f>
        <v>295.2</v>
      </c>
      <c r="H55" s="41" t="n">
        <f aca="false">(H52+H53)*INPUTS!$F$45</f>
        <v>336</v>
      </c>
      <c r="I55" s="41" t="n">
        <f aca="false">(I52+I53)*INPUTS!$F$45</f>
        <v>355.2</v>
      </c>
      <c r="J55" s="41" t="n">
        <f aca="false">(J52+J53)*INPUTS!$F$45</f>
        <v>347.4</v>
      </c>
      <c r="K55" s="41" t="n">
        <f aca="false">(K52+K53)*INPUTS!$F$45</f>
        <v>344.4</v>
      </c>
      <c r="L55" s="41" t="n">
        <f aca="false">(L52+L53)*INPUTS!$F$45</f>
        <v>367.2</v>
      </c>
      <c r="M55" s="41" t="n">
        <f aca="false">(M52+M53)*INPUTS!$F$45</f>
        <v>389.4</v>
      </c>
      <c r="N55" s="50" t="n">
        <f aca="false">SUM(B55:M55)</f>
        <v>2907.6</v>
      </c>
    </row>
    <row r="56" customFormat="false" ht="15.75" hidden="false" customHeight="true" outlineLevel="0" collapsed="false"/>
    <row r="57" customFormat="false" ht="15.75" hidden="false" customHeight="true" outlineLevel="0" collapsed="false">
      <c r="A57" s="39" t="s">
        <v>340</v>
      </c>
      <c r="B57" s="49" t="s">
        <v>329</v>
      </c>
      <c r="C57" s="35" t="str">
        <f aca="false">INPUTS!B46</f>
        <v>Yes</v>
      </c>
      <c r="D57" s="49" t="s">
        <v>330</v>
      </c>
      <c r="E57" s="42" t="n">
        <f aca="false">INPUTS!G46</f>
        <v>4</v>
      </c>
      <c r="F57" s="49" t="s">
        <v>331</v>
      </c>
      <c r="G57" s="42" t="n">
        <f aca="false">INPUTS!H46</f>
        <v>14000</v>
      </c>
    </row>
    <row r="58" customFormat="false" ht="15.75" hidden="false" customHeight="true" outlineLevel="0" collapsed="false">
      <c r="A58" s="9" t="s">
        <v>332</v>
      </c>
      <c r="B58" s="29" t="n">
        <f aca="false">IF(AND(INPUTS!$B$46="Yes",B$5&gt;INPUTS!$G$46),IF(AND(INPUTS!$H$46&gt;0,(ROUND(B$7*INPUTS!$C$46/$B$3,0)+ROUND(B$8*INPUTS!$C$46/$B$3,0))&gt;INPUTS!$H$46),ROUND(ROUND(B$7*INPUTS!$C$46/$B$3,0)*INPUTS!$H$46/(ROUND(B$7*INPUTS!$C$46/$B$3,0)+ROUND(B$8*INPUTS!$C$46/$B$3,0)),0),ROUND(B$7*INPUTS!$C$46/$B$3,0)),0)</f>
        <v>0</v>
      </c>
      <c r="C58" s="29" t="n">
        <f aca="false">IF(AND(INPUTS!$B$46="Yes",C$5&gt;INPUTS!$G$46),IF(AND(INPUTS!$H$46&gt;0,(ROUND(C$7*INPUTS!$C$46/$B$3,0)+ROUND(C$8*INPUTS!$C$46/$B$3,0))&gt;INPUTS!$H$46),ROUND(ROUND(C$7*INPUTS!$C$46/$B$3,0)*INPUTS!$H$46/(ROUND(C$7*INPUTS!$C$46/$B$3,0)+ROUND(C$8*INPUTS!$C$46/$B$3,0)),0),ROUND(C$7*INPUTS!$C$46/$B$3,0)),0)</f>
        <v>0</v>
      </c>
      <c r="D58" s="29" t="n">
        <f aca="false">IF(AND(INPUTS!$B$46="Yes",D$5&gt;INPUTS!$G$46),IF(AND(INPUTS!$H$46&gt;0,(ROUND(D$7*INPUTS!$C$46/$B$3,0)+ROUND(D$8*INPUTS!$C$46/$B$3,0))&gt;INPUTS!$H$46),ROUND(ROUND(D$7*INPUTS!$C$46/$B$3,0)*INPUTS!$H$46/(ROUND(D$7*INPUTS!$C$46/$B$3,0)+ROUND(D$8*INPUTS!$C$46/$B$3,0)),0),ROUND(D$7*INPUTS!$C$46/$B$3,0)),0)</f>
        <v>0</v>
      </c>
      <c r="E58" s="29" t="n">
        <f aca="false">IF(AND(INPUTS!$B$46="Yes",E$5&gt;INPUTS!$G$46),IF(AND(INPUTS!$H$46&gt;0,(ROUND(E$7*INPUTS!$C$46/$B$3,0)+ROUND(E$8*INPUTS!$C$46/$B$3,0))&gt;INPUTS!$H$46),ROUND(ROUND(E$7*INPUTS!$C$46/$B$3,0)*INPUTS!$H$46/(ROUND(E$7*INPUTS!$C$46/$B$3,0)+ROUND(E$8*INPUTS!$C$46/$B$3,0)),0),ROUND(E$7*INPUTS!$C$46/$B$3,0)),0)</f>
        <v>0</v>
      </c>
      <c r="F58" s="29" t="n">
        <f aca="false">IF(AND(INPUTS!$B$46="Yes",F$5&gt;INPUTS!$G$46),IF(AND(INPUTS!$H$46&gt;0,(ROUND(F$7*INPUTS!$C$46/$B$3,0)+ROUND(F$8*INPUTS!$C$46/$B$3,0))&gt;INPUTS!$H$46),ROUND(ROUND(F$7*INPUTS!$C$46/$B$3,0)*INPUTS!$H$46/(ROUND(F$7*INPUTS!$C$46/$B$3,0)+ROUND(F$8*INPUTS!$C$46/$B$3,0)),0),ROUND(F$7*INPUTS!$C$46/$B$3,0)),0)</f>
        <v>842</v>
      </c>
      <c r="G58" s="29" t="n">
        <f aca="false">IF(AND(INPUTS!$B$46="Yes",G$5&gt;INPUTS!$G$46),IF(AND(INPUTS!$H$46&gt;0,(ROUND(G$7*INPUTS!$C$46/$B$3,0)+ROUND(G$8*INPUTS!$C$46/$B$3,0))&gt;INPUTS!$H$46),ROUND(ROUND(G$7*INPUTS!$C$46/$B$3,0)*INPUTS!$H$46/(ROUND(G$7*INPUTS!$C$46/$B$3,0)+ROUND(G$8*INPUTS!$C$46/$B$3,0)),0),ROUND(G$7*INPUTS!$C$46/$B$3,0)),0)</f>
        <v>969</v>
      </c>
      <c r="H58" s="29" t="n">
        <f aca="false">IF(AND(INPUTS!$B$46="Yes",H$5&gt;INPUTS!$G$46),IF(AND(INPUTS!$H$46&gt;0,(ROUND(H$7*INPUTS!$C$46/$B$3,0)+ROUND(H$8*INPUTS!$C$46/$B$3,0))&gt;INPUTS!$H$46),ROUND(ROUND(H$7*INPUTS!$C$46/$B$3,0)*INPUTS!$H$46/(ROUND(H$7*INPUTS!$C$46/$B$3,0)+ROUND(H$8*INPUTS!$C$46/$B$3,0)),0),ROUND(H$7*INPUTS!$C$46/$B$3,0)),0)</f>
        <v>1105</v>
      </c>
      <c r="I58" s="29" t="n">
        <f aca="false">IF(AND(INPUTS!$B$46="Yes",I$5&gt;INPUTS!$G$46),IF(AND(INPUTS!$H$46&gt;0,(ROUND(I$7*INPUTS!$C$46/$B$3,0)+ROUND(I$8*INPUTS!$C$46/$B$3,0))&gt;INPUTS!$H$46),ROUND(ROUND(I$7*INPUTS!$C$46/$B$3,0)*INPUTS!$H$46/(ROUND(I$7*INPUTS!$C$46/$B$3,0)+ROUND(I$8*INPUTS!$C$46/$B$3,0)),0),ROUND(I$7*INPUTS!$C$46/$B$3,0)),0)</f>
        <v>1190</v>
      </c>
      <c r="J58" s="29" t="n">
        <f aca="false">IF(AND(INPUTS!$B$46="Yes",J$5&gt;INPUTS!$G$46),IF(AND(INPUTS!$H$46&gt;0,(ROUND(J$7*INPUTS!$C$46/$B$3,0)+ROUND(J$8*INPUTS!$C$46/$B$3,0))&gt;INPUTS!$H$46),ROUND(ROUND(J$7*INPUTS!$C$46/$B$3,0)*INPUTS!$H$46/(ROUND(J$7*INPUTS!$C$46/$B$3,0)+ROUND(J$8*INPUTS!$C$46/$B$3,0)),0),ROUND(J$7*INPUTS!$C$46/$B$3,0)),0)</f>
        <v>1211</v>
      </c>
      <c r="K58" s="29" t="n">
        <f aca="false">IF(AND(INPUTS!$B$46="Yes",K$5&gt;INPUTS!$G$46),IF(AND(INPUTS!$H$46&gt;0,(ROUND(K$7*INPUTS!$C$46/$B$3,0)+ROUND(K$8*INPUTS!$C$46/$B$3,0))&gt;INPUTS!$H$46),ROUND(ROUND(K$7*INPUTS!$C$46/$B$3,0)*INPUTS!$H$46/(ROUND(K$7*INPUTS!$C$46/$B$3,0)+ROUND(K$8*INPUTS!$C$46/$B$3,0)),0),ROUND(K$7*INPUTS!$C$46/$B$3,0)),0)</f>
        <v>1292</v>
      </c>
      <c r="L58" s="29" t="n">
        <f aca="false">IF(AND(INPUTS!$B$46="Yes",L$5&gt;INPUTS!$G$46),IF(AND(INPUTS!$H$46&gt;0,(ROUND(L$7*INPUTS!$C$46/$B$3,0)+ROUND(L$8*INPUTS!$C$46/$B$3,0))&gt;INPUTS!$H$46),ROUND(ROUND(L$7*INPUTS!$C$46/$B$3,0)*INPUTS!$H$46/(ROUND(L$7*INPUTS!$C$46/$B$3,0)+ROUND(L$8*INPUTS!$C$46/$B$3,0)),0),ROUND(L$7*INPUTS!$C$46/$B$3,0)),0)</f>
        <v>1445</v>
      </c>
      <c r="M58" s="29" t="n">
        <f aca="false">IF(AND(INPUTS!$B$46="Yes",M$5&gt;INPUTS!$G$46),IF(AND(INPUTS!$H$46&gt;0,(ROUND(M$7*INPUTS!$C$46/$B$3,0)+ROUND(M$8*INPUTS!$C$46/$B$3,0))&gt;INPUTS!$H$46),ROUND(ROUND(M$7*INPUTS!$C$46/$B$3,0)*INPUTS!$H$46/(ROUND(M$7*INPUTS!$C$46/$B$3,0)+ROUND(M$8*INPUTS!$C$46/$B$3,0)),0),ROUND(M$7*INPUTS!$C$46/$B$3,0)),0)</f>
        <v>1530</v>
      </c>
      <c r="N58" s="48" t="n">
        <f aca="false">SUM(B58:M58)</f>
        <v>9584</v>
      </c>
    </row>
    <row r="59" customFormat="false" ht="15.75" hidden="false" customHeight="true" outlineLevel="0" collapsed="false">
      <c r="A59" s="9" t="s">
        <v>333</v>
      </c>
      <c r="B59" s="29" t="n">
        <f aca="false">IF(AND(INPUTS!$B$46="Yes",B$5&gt;INPUTS!$G$46),IF(AND(INPUTS!$H$46&gt;0,(ROUND(B$7*INPUTS!$C$46/$B$3,0)+ROUND(B$8*INPUTS!$C$46/$B$3,0))&gt;INPUTS!$H$46),ROUND(ROUND(B$8*INPUTS!$C$46/$B$3,0)*INPUTS!$H$46/(ROUND(B$7*INPUTS!$C$46/$B$3,0)+ROUND(B$8*INPUTS!$C$46/$B$3,0)),0),ROUND(B$8*INPUTS!$C$46/$B$3,0)),0)</f>
        <v>0</v>
      </c>
      <c r="C59" s="29" t="n">
        <f aca="false">IF(AND(INPUTS!$B$46="Yes",C$5&gt;INPUTS!$G$46),IF(AND(INPUTS!$H$46&gt;0,(ROUND(C$7*INPUTS!$C$46/$B$3,0)+ROUND(C$8*INPUTS!$C$46/$B$3,0))&gt;INPUTS!$H$46),ROUND(ROUND(C$8*INPUTS!$C$46/$B$3,0)*INPUTS!$H$46/(ROUND(C$7*INPUTS!$C$46/$B$3,0)+ROUND(C$8*INPUTS!$C$46/$B$3,0)),0),ROUND(C$8*INPUTS!$C$46/$B$3,0)),0)</f>
        <v>0</v>
      </c>
      <c r="D59" s="29" t="n">
        <f aca="false">IF(AND(INPUTS!$B$46="Yes",D$5&gt;INPUTS!$G$46),IF(AND(INPUTS!$H$46&gt;0,(ROUND(D$7*INPUTS!$C$46/$B$3,0)+ROUND(D$8*INPUTS!$C$46/$B$3,0))&gt;INPUTS!$H$46),ROUND(ROUND(D$8*INPUTS!$C$46/$B$3,0)*INPUTS!$H$46/(ROUND(D$7*INPUTS!$C$46/$B$3,0)+ROUND(D$8*INPUTS!$C$46/$B$3,0)),0),ROUND(D$8*INPUTS!$C$46/$B$3,0)),0)</f>
        <v>0</v>
      </c>
      <c r="E59" s="29" t="n">
        <f aca="false">IF(AND(INPUTS!$B$46="Yes",E$5&gt;INPUTS!$G$46),IF(AND(INPUTS!$H$46&gt;0,(ROUND(E$7*INPUTS!$C$46/$B$3,0)+ROUND(E$8*INPUTS!$C$46/$B$3,0))&gt;INPUTS!$H$46),ROUND(ROUND(E$8*INPUTS!$C$46/$B$3,0)*INPUTS!$H$46/(ROUND(E$7*INPUTS!$C$46/$B$3,0)+ROUND(E$8*INPUTS!$C$46/$B$3,0)),0),ROUND(E$8*INPUTS!$C$46/$B$3,0)),0)</f>
        <v>0</v>
      </c>
      <c r="F59" s="29" t="n">
        <f aca="false">IF(AND(INPUTS!$B$46="Yes",F$5&gt;INPUTS!$G$46),IF(AND(INPUTS!$H$46&gt;0,(ROUND(F$7*INPUTS!$C$46/$B$3,0)+ROUND(F$8*INPUTS!$C$46/$B$3,0))&gt;INPUTS!$H$46),ROUND(ROUND(F$8*INPUTS!$C$46/$B$3,0)*INPUTS!$H$46/(ROUND(F$7*INPUTS!$C$46/$B$3,0)+ROUND(F$8*INPUTS!$C$46/$B$3,0)),0),ROUND(F$8*INPUTS!$C$46/$B$3,0)),0)</f>
        <v>935</v>
      </c>
      <c r="G59" s="29" t="n">
        <f aca="false">IF(AND(INPUTS!$B$46="Yes",G$5&gt;INPUTS!$G$46),IF(AND(INPUTS!$H$46&gt;0,(ROUND(G$7*INPUTS!$C$46/$B$3,0)+ROUND(G$8*INPUTS!$C$46/$B$3,0))&gt;INPUTS!$H$46),ROUND(ROUND(G$8*INPUTS!$C$46/$B$3,0)*INPUTS!$H$46/(ROUND(G$7*INPUTS!$C$46/$B$3,0)+ROUND(G$8*INPUTS!$C$46/$B$3,0)),0),ROUND(G$8*INPUTS!$C$46/$B$3,0)),0)</f>
        <v>1122</v>
      </c>
      <c r="H59" s="29" t="n">
        <f aca="false">IF(AND(INPUTS!$B$46="Yes",H$5&gt;INPUTS!$G$46),IF(AND(INPUTS!$H$46&gt;0,(ROUND(H$7*INPUTS!$C$46/$B$3,0)+ROUND(H$8*INPUTS!$C$46/$B$3,0))&gt;INPUTS!$H$46),ROUND(ROUND(H$8*INPUTS!$C$46/$B$3,0)*INPUTS!$H$46/(ROUND(H$7*INPUTS!$C$46/$B$3,0)+ROUND(H$8*INPUTS!$C$46/$B$3,0)),0),ROUND(H$8*INPUTS!$C$46/$B$3,0)),0)</f>
        <v>1275</v>
      </c>
      <c r="I59" s="29" t="n">
        <f aca="false">IF(AND(INPUTS!$B$46="Yes",I$5&gt;INPUTS!$G$46),IF(AND(INPUTS!$H$46&gt;0,(ROUND(I$7*INPUTS!$C$46/$B$3,0)+ROUND(I$8*INPUTS!$C$46/$B$3,0))&gt;INPUTS!$H$46),ROUND(ROUND(I$8*INPUTS!$C$46/$B$3,0)*INPUTS!$H$46/(ROUND(I$7*INPUTS!$C$46/$B$3,0)+ROUND(I$8*INPUTS!$C$46/$B$3,0)),0),ROUND(I$8*INPUTS!$C$46/$B$3,0)),0)</f>
        <v>1326</v>
      </c>
      <c r="J59" s="29" t="n">
        <f aca="false">IF(AND(INPUTS!$B$46="Yes",J$5&gt;INPUTS!$G$46),IF(AND(INPUTS!$H$46&gt;0,(ROUND(J$7*INPUTS!$C$46/$B$3,0)+ROUND(J$8*INPUTS!$C$46/$B$3,0))&gt;INPUTS!$H$46),ROUND(ROUND(J$8*INPUTS!$C$46/$B$3,0)*INPUTS!$H$46/(ROUND(J$7*INPUTS!$C$46/$B$3,0)+ROUND(J$8*INPUTS!$C$46/$B$3,0)),0),ROUND(J$8*INPUTS!$C$46/$B$3,0)),0)</f>
        <v>1250</v>
      </c>
      <c r="K59" s="29" t="n">
        <f aca="false">IF(AND(INPUTS!$B$46="Yes",K$5&gt;INPUTS!$G$46),IF(AND(INPUTS!$H$46&gt;0,(ROUND(K$7*INPUTS!$C$46/$B$3,0)+ROUND(K$8*INPUTS!$C$46/$B$3,0))&gt;INPUTS!$H$46),ROUND(ROUND(K$8*INPUTS!$C$46/$B$3,0)*INPUTS!$H$46/(ROUND(K$7*INPUTS!$C$46/$B$3,0)+ROUND(K$8*INPUTS!$C$46/$B$3,0)),0),ROUND(K$8*INPUTS!$C$46/$B$3,0)),0)</f>
        <v>1148</v>
      </c>
      <c r="L59" s="29" t="n">
        <f aca="false">IF(AND(INPUTS!$B$46="Yes",L$5&gt;INPUTS!$G$46),IF(AND(INPUTS!$H$46&gt;0,(ROUND(L$7*INPUTS!$C$46/$B$3,0)+ROUND(L$8*INPUTS!$C$46/$B$3,0))&gt;INPUTS!$H$46),ROUND(ROUND(L$8*INPUTS!$C$46/$B$3,0)*INPUTS!$H$46/(ROUND(L$7*INPUTS!$C$46/$B$3,0)+ROUND(L$8*INPUTS!$C$46/$B$3,0)),0),ROUND(L$8*INPUTS!$C$46/$B$3,0)),0)</f>
        <v>1156</v>
      </c>
      <c r="M59" s="29" t="n">
        <f aca="false">IF(AND(INPUTS!$B$46="Yes",M$5&gt;INPUTS!$G$46),IF(AND(INPUTS!$H$46&gt;0,(ROUND(M$7*INPUTS!$C$46/$B$3,0)+ROUND(M$8*INPUTS!$C$46/$B$3,0))&gt;INPUTS!$H$46),ROUND(ROUND(M$8*INPUTS!$C$46/$B$3,0)*INPUTS!$H$46/(ROUND(M$7*INPUTS!$C$46/$B$3,0)+ROUND(M$8*INPUTS!$C$46/$B$3,0)),0),ROUND(M$8*INPUTS!$C$46/$B$3,0)),0)</f>
        <v>1228</v>
      </c>
      <c r="N59" s="48" t="n">
        <f aca="false">SUM(B59:M59)</f>
        <v>9440</v>
      </c>
    </row>
    <row r="60" customFormat="false" ht="15.75" hidden="false" customHeight="true" outlineLevel="0" collapsed="false">
      <c r="A60" s="9" t="s">
        <v>334</v>
      </c>
      <c r="B60" s="41" t="n">
        <f aca="false">B58*INPUTS!$D$46+B59*INPUTS!$E$46</f>
        <v>0</v>
      </c>
      <c r="C60" s="41" t="n">
        <f aca="false">C58*INPUTS!$D$46+C59*INPUTS!$E$46</f>
        <v>0</v>
      </c>
      <c r="D60" s="41" t="n">
        <f aca="false">D58*INPUTS!$D$46+D59*INPUTS!$E$46</f>
        <v>0</v>
      </c>
      <c r="E60" s="41" t="n">
        <f aca="false">E58*INPUTS!$D$46+E59*INPUTS!$E$46</f>
        <v>0</v>
      </c>
      <c r="F60" s="41" t="n">
        <f aca="false">F58*INPUTS!$D$46+F59*INPUTS!$E$46</f>
        <v>2151.25</v>
      </c>
      <c r="G60" s="41" t="n">
        <f aca="false">G58*INPUTS!$D$46+G59*INPUTS!$E$46</f>
        <v>2519.4</v>
      </c>
      <c r="H60" s="41" t="n">
        <f aca="false">H58*INPUTS!$D$46+H59*INPUTS!$E$46</f>
        <v>2868.75</v>
      </c>
      <c r="I60" s="41" t="n">
        <f aca="false">I58*INPUTS!$D$46+I59*INPUTS!$E$46</f>
        <v>3044.7</v>
      </c>
      <c r="J60" s="41" t="n">
        <f aca="false">J58*INPUTS!$D$46+J59*INPUTS!$E$46</f>
        <v>3004</v>
      </c>
      <c r="K60" s="41" t="n">
        <f aca="false">K58*INPUTS!$D$46+K59*INPUTS!$E$46</f>
        <v>3028.6</v>
      </c>
      <c r="L60" s="41" t="n">
        <f aca="false">L58*INPUTS!$D$46+L59*INPUTS!$E$46</f>
        <v>3265.7</v>
      </c>
      <c r="M60" s="41" t="n">
        <f aca="false">M58*INPUTS!$D$46+M59*INPUTS!$E$46</f>
        <v>3461.6</v>
      </c>
      <c r="N60" s="50" t="n">
        <f aca="false">SUM(B60:M60)</f>
        <v>23344</v>
      </c>
    </row>
    <row r="61" customFormat="false" ht="15.75" hidden="false" customHeight="true" outlineLevel="0" collapsed="false">
      <c r="A61" s="9" t="s">
        <v>335</v>
      </c>
      <c r="B61" s="41" t="n">
        <f aca="false">(B58+B59)*INPUTS!$F$46</f>
        <v>0</v>
      </c>
      <c r="C61" s="41" t="n">
        <f aca="false">(C58+C59)*INPUTS!$F$46</f>
        <v>0</v>
      </c>
      <c r="D61" s="41" t="n">
        <f aca="false">(D58+D59)*INPUTS!$F$46</f>
        <v>0</v>
      </c>
      <c r="E61" s="41" t="n">
        <f aca="false">(E58+E59)*INPUTS!$F$46</f>
        <v>0</v>
      </c>
      <c r="F61" s="41" t="n">
        <f aca="false">(F58+F59)*INPUTS!$F$46</f>
        <v>799.65</v>
      </c>
      <c r="G61" s="41" t="n">
        <f aca="false">(G58+G59)*INPUTS!$F$46</f>
        <v>940.95</v>
      </c>
      <c r="H61" s="41" t="n">
        <f aca="false">(H58+H59)*INPUTS!$F$46</f>
        <v>1071</v>
      </c>
      <c r="I61" s="41" t="n">
        <f aca="false">(I58+I59)*INPUTS!$F$46</f>
        <v>1132.2</v>
      </c>
      <c r="J61" s="41" t="n">
        <f aca="false">(J58+J59)*INPUTS!$F$46</f>
        <v>1107.45</v>
      </c>
      <c r="K61" s="41" t="n">
        <f aca="false">(K58+K59)*INPUTS!$F$46</f>
        <v>1098</v>
      </c>
      <c r="L61" s="41" t="n">
        <f aca="false">(L58+L59)*INPUTS!$F$46</f>
        <v>1170.45</v>
      </c>
      <c r="M61" s="41" t="n">
        <f aca="false">(M58+M59)*INPUTS!$F$46</f>
        <v>1241.1</v>
      </c>
      <c r="N61" s="50" t="n">
        <f aca="false">SUM(B61:M61)</f>
        <v>8560.8</v>
      </c>
    </row>
    <row r="62" customFormat="false" ht="15.75" hidden="false" customHeight="true" outlineLevel="0" collapsed="false"/>
    <row r="63" customFormat="false" ht="18" hidden="false" customHeight="true" outlineLevel="0" collapsed="false">
      <c r="A63" s="6" t="s">
        <v>341</v>
      </c>
      <c r="B63" s="7"/>
      <c r="C63" s="7"/>
      <c r="D63" s="7"/>
      <c r="E63" s="7"/>
      <c r="F63" s="7"/>
      <c r="G63" s="7"/>
      <c r="H63" s="7"/>
      <c r="I63" s="7"/>
      <c r="J63" s="7"/>
      <c r="K63" s="7"/>
      <c r="L63" s="7"/>
      <c r="M63" s="7"/>
      <c r="N63" s="7"/>
    </row>
    <row r="64" customFormat="false" ht="15.75" hidden="false" customHeight="true" outlineLevel="0" collapsed="false">
      <c r="A64" s="17" t="s">
        <v>342</v>
      </c>
      <c r="B64" s="50" t="n">
        <f aca="false">B30+B36+B42+B48+B54+B60</f>
        <v>4367.5</v>
      </c>
      <c r="C64" s="50" t="n">
        <f aca="false">C30+C36+C42+C48+C54+C60</f>
        <v>6532.5</v>
      </c>
      <c r="D64" s="50" t="n">
        <f aca="false">D30+D36+D42+D48+D54+D60</f>
        <v>12201</v>
      </c>
      <c r="E64" s="50" t="n">
        <f aca="false">E30+E36+E42+E48+E54+E60</f>
        <v>16171</v>
      </c>
      <c r="F64" s="50" t="n">
        <f aca="false">F30+F36+F42+F48+F54+F60</f>
        <v>22779.5</v>
      </c>
      <c r="G64" s="50" t="n">
        <f aca="false">G30+G36+G42+G48+G54+G60</f>
        <v>26688.6</v>
      </c>
      <c r="H64" s="50" t="n">
        <f aca="false">H30+H36+H42+H48+H54+H60</f>
        <v>30389</v>
      </c>
      <c r="I64" s="50" t="n">
        <f aca="false">I30+I36+I42+I48+I54+I60</f>
        <v>32249.2</v>
      </c>
      <c r="J64" s="50" t="n">
        <f aca="false">J30+J36+J42+J48+J54+J60</f>
        <v>31810.45</v>
      </c>
      <c r="K64" s="50" t="n">
        <f aca="false">K30+K36+K42+K48+K54+K60</f>
        <v>32051.75</v>
      </c>
      <c r="L64" s="50" t="n">
        <f aca="false">L30+L36+L42+L48+L54+L60</f>
        <v>34554.2</v>
      </c>
      <c r="M64" s="50" t="n">
        <f aca="false">M30+M36+M42+M48+M54+M60</f>
        <v>36630</v>
      </c>
      <c r="N64" s="50" t="n">
        <f aca="false">SUM(B64:M64)</f>
        <v>286424.7</v>
      </c>
    </row>
    <row r="65" customFormat="false" ht="15.75" hidden="false" customHeight="true" outlineLevel="0" collapsed="false">
      <c r="A65" s="9" t="s">
        <v>343</v>
      </c>
      <c r="B65" s="41" t="n">
        <f aca="false">B64*INPUTS!$B$5</f>
        <v>87.35</v>
      </c>
      <c r="C65" s="41" t="n">
        <f aca="false">C64*INPUTS!$B$5</f>
        <v>130.65</v>
      </c>
      <c r="D65" s="41" t="n">
        <f aca="false">D64*INPUTS!$B$5</f>
        <v>244.02</v>
      </c>
      <c r="E65" s="41" t="n">
        <f aca="false">E64*INPUTS!$B$5</f>
        <v>323.42</v>
      </c>
      <c r="F65" s="41" t="n">
        <f aca="false">F64*INPUTS!$B$5</f>
        <v>455.59</v>
      </c>
      <c r="G65" s="41" t="n">
        <f aca="false">G64*INPUTS!$B$5</f>
        <v>533.772</v>
      </c>
      <c r="H65" s="41" t="n">
        <f aca="false">H64*INPUTS!$B$5</f>
        <v>607.78</v>
      </c>
      <c r="I65" s="41" t="n">
        <f aca="false">I64*INPUTS!$B$5</f>
        <v>644.984</v>
      </c>
      <c r="J65" s="41" t="n">
        <f aca="false">J64*INPUTS!$B$5</f>
        <v>636.209</v>
      </c>
      <c r="K65" s="41" t="n">
        <f aca="false">K64*INPUTS!$B$5</f>
        <v>641.035</v>
      </c>
      <c r="L65" s="41" t="n">
        <f aca="false">L64*INPUTS!$B$5</f>
        <v>691.084</v>
      </c>
      <c r="M65" s="41" t="n">
        <f aca="false">M64*INPUTS!$B$5</f>
        <v>732.6</v>
      </c>
      <c r="N65" s="50" t="n">
        <f aca="false">SUM(B65:M65)</f>
        <v>5728.494</v>
      </c>
    </row>
    <row r="66" customFormat="false" ht="15.75" hidden="false" customHeight="true" outlineLevel="0" collapsed="false">
      <c r="A66" s="17" t="s">
        <v>344</v>
      </c>
      <c r="B66" s="51" t="n">
        <f aca="false">B64-B65</f>
        <v>4280.15</v>
      </c>
      <c r="C66" s="51" t="n">
        <f aca="false">C64-C65</f>
        <v>6401.85</v>
      </c>
      <c r="D66" s="51" t="n">
        <f aca="false">D64-D65</f>
        <v>11956.98</v>
      </c>
      <c r="E66" s="51" t="n">
        <f aca="false">E64-E65</f>
        <v>15847.58</v>
      </c>
      <c r="F66" s="51" t="n">
        <f aca="false">F64-F65</f>
        <v>22323.91</v>
      </c>
      <c r="G66" s="51" t="n">
        <f aca="false">G64-G65</f>
        <v>26154.828</v>
      </c>
      <c r="H66" s="51" t="n">
        <f aca="false">H64-H65</f>
        <v>29781.22</v>
      </c>
      <c r="I66" s="51" t="n">
        <f aca="false">I64-I65</f>
        <v>31604.216</v>
      </c>
      <c r="J66" s="51" t="n">
        <f aca="false">J64-J65</f>
        <v>31174.241</v>
      </c>
      <c r="K66" s="51" t="n">
        <f aca="false">K64-K65</f>
        <v>31410.715</v>
      </c>
      <c r="L66" s="51" t="n">
        <f aca="false">L64-L65</f>
        <v>33863.116</v>
      </c>
      <c r="M66" s="51" t="n">
        <f aca="false">M64-M65</f>
        <v>35897.4</v>
      </c>
      <c r="N66" s="51" t="n">
        <f aca="false">SUM(B66:M66)</f>
        <v>280696.206</v>
      </c>
    </row>
    <row r="67" customFormat="false" ht="15.75" hidden="false" customHeight="true" outlineLevel="0" collapsed="false">
      <c r="A67" s="9" t="s">
        <v>345</v>
      </c>
      <c r="B67" s="31" t="n">
        <f aca="false">B31+B37+B43+B49+B55+B61</f>
        <v>1215.5</v>
      </c>
      <c r="C67" s="31" t="n">
        <f aca="false">C31+C37+C43+C49+C55+C61</f>
        <v>1844.5</v>
      </c>
      <c r="D67" s="31" t="n">
        <f aca="false">D31+D37+D43+D49+D55+D61</f>
        <v>3307.5</v>
      </c>
      <c r="E67" s="31" t="n">
        <f aca="false">E31+E37+E43+E49+E55+E61</f>
        <v>4384.5</v>
      </c>
      <c r="F67" s="31" t="n">
        <f aca="false">F31+F37+F43+F49+F55+F61</f>
        <v>6411.51</v>
      </c>
      <c r="G67" s="31" t="n">
        <f aca="false">G31+G37+G43+G49+G55+G61</f>
        <v>7546.05</v>
      </c>
      <c r="H67" s="31" t="n">
        <f aca="false">H31+H37+H43+H49+H55+H61</f>
        <v>8589</v>
      </c>
      <c r="I67" s="31" t="n">
        <f aca="false">I31+I37+I43+I49+I55+I61</f>
        <v>9079.8</v>
      </c>
      <c r="J67" s="31" t="n">
        <f aca="false">J31+J37+J43+J49+J55+J61</f>
        <v>8880.84</v>
      </c>
      <c r="K67" s="31" t="n">
        <f aca="false">K31+K37+K43+K49+K55+K61</f>
        <v>8804.16</v>
      </c>
      <c r="L67" s="31" t="n">
        <f aca="false">L31+L37+L43+L49+L55+L61</f>
        <v>9386.55</v>
      </c>
      <c r="M67" s="31" t="n">
        <f aca="false">M31+M37+M43+M49+M55+M61</f>
        <v>9954.03</v>
      </c>
      <c r="N67" s="50" t="n">
        <f aca="false">SUM(B67:M67)</f>
        <v>79403.94</v>
      </c>
    </row>
    <row r="68" customFormat="false" ht="15.75" hidden="false" customHeight="true" outlineLevel="0" collapsed="false">
      <c r="A68" s="9" t="s">
        <v>346</v>
      </c>
      <c r="B68" s="41" t="n">
        <f aca="false">IF(B$5&gt;=MAX(INPUTS!$B$70,1),INPUTS!$B$69/MAX(13-MAX(INPUTS!$B$70,1),1),0)</f>
        <v>16666.6666666667</v>
      </c>
      <c r="C68" s="41" t="n">
        <f aca="false">IF(C$5&gt;=MAX(INPUTS!$B$70,1),INPUTS!$B$69/MAX(13-MAX(INPUTS!$B$70,1),1),0)</f>
        <v>16666.6666666667</v>
      </c>
      <c r="D68" s="41" t="n">
        <f aca="false">IF(D$5&gt;=MAX(INPUTS!$B$70,1),INPUTS!$B$69/MAX(13-MAX(INPUTS!$B$70,1),1),0)</f>
        <v>16666.6666666667</v>
      </c>
      <c r="E68" s="41" t="n">
        <f aca="false">IF(E$5&gt;=MAX(INPUTS!$B$70,1),INPUTS!$B$69/MAX(13-MAX(INPUTS!$B$70,1),1),0)</f>
        <v>16666.6666666667</v>
      </c>
      <c r="F68" s="41" t="n">
        <f aca="false">IF(F$5&gt;=MAX(INPUTS!$B$70,1),INPUTS!$B$69/MAX(13-MAX(INPUTS!$B$70,1),1),0)</f>
        <v>16666.6666666667</v>
      </c>
      <c r="G68" s="41" t="n">
        <f aca="false">IF(G$5&gt;=MAX(INPUTS!$B$70,1),INPUTS!$B$69/MAX(13-MAX(INPUTS!$B$70,1),1),0)</f>
        <v>16666.6666666667</v>
      </c>
      <c r="H68" s="41" t="n">
        <f aca="false">IF(H$5&gt;=MAX(INPUTS!$B$70,1),INPUTS!$B$69/MAX(13-MAX(INPUTS!$B$70,1),1),0)</f>
        <v>16666.6666666667</v>
      </c>
      <c r="I68" s="41" t="n">
        <f aca="false">IF(I$5&gt;=MAX(INPUTS!$B$70,1),INPUTS!$B$69/MAX(13-MAX(INPUTS!$B$70,1),1),0)</f>
        <v>16666.6666666667</v>
      </c>
      <c r="J68" s="41" t="n">
        <f aca="false">IF(J$5&gt;=MAX(INPUTS!$B$70,1),INPUTS!$B$69/MAX(13-MAX(INPUTS!$B$70,1),1),0)</f>
        <v>16666.6666666667</v>
      </c>
      <c r="K68" s="41" t="n">
        <f aca="false">IF(K$5&gt;=MAX(INPUTS!$B$70,1),INPUTS!$B$69/MAX(13-MAX(INPUTS!$B$70,1),1),0)</f>
        <v>16666.6666666667</v>
      </c>
      <c r="L68" s="41" t="n">
        <f aca="false">IF(L$5&gt;=MAX(INPUTS!$B$70,1),INPUTS!$B$69/MAX(13-MAX(INPUTS!$B$70,1),1),0)</f>
        <v>16666.6666666667</v>
      </c>
      <c r="M68" s="41" t="n">
        <f aca="false">IF(M$5&gt;=MAX(INPUTS!$B$70,1),INPUTS!$B$69/MAX(13-MAX(INPUTS!$B$70,1),1),0)</f>
        <v>16666.6666666667</v>
      </c>
      <c r="N68" s="50" t="n">
        <f aca="false">SUM(B68:M68)</f>
        <v>200000</v>
      </c>
    </row>
    <row r="69" customFormat="false" ht="15.75" hidden="false" customHeight="true" outlineLevel="0" collapsed="false"/>
    <row r="70" customFormat="false" ht="15.75" hidden="false" customHeight="true" outlineLevel="0" collapsed="false">
      <c r="A70" s="11" t="s">
        <v>347</v>
      </c>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14.43359375" defaultRowHeight="15" customHeight="true" zeroHeight="false" outlineLevelRow="0" outlineLevelCol="0"/>
  <cols>
    <col collapsed="false" customWidth="true" hidden="false" outlineLevel="0" max="1" min="1" style="1" width="40"/>
    <col collapsed="false" customWidth="true" hidden="false" outlineLevel="0" max="6" min="2" style="1" width="17"/>
    <col collapsed="false" customWidth="true" hidden="false" outlineLevel="0" max="7" min="7" style="1" width="18"/>
    <col collapsed="false" customWidth="true" hidden="false" outlineLevel="0" max="26" min="8" style="1" width="8.71"/>
  </cols>
  <sheetData>
    <row r="1" customFormat="false" ht="21.75" hidden="false" customHeight="true" outlineLevel="0" collapsed="false">
      <c r="A1" s="2" t="s">
        <v>348</v>
      </c>
    </row>
    <row r="2" customFormat="false" ht="84.75" hidden="false" customHeight="true" outlineLevel="0" collapsed="false">
      <c r="A2" s="11" t="s">
        <v>349</v>
      </c>
    </row>
    <row r="5" customFormat="false" ht="15" hidden="false" customHeight="true" outlineLevel="0" collapsed="false">
      <c r="A5" s="17" t="s">
        <v>350</v>
      </c>
      <c r="B5" s="46" t="s">
        <v>351</v>
      </c>
      <c r="C5" s="46" t="s">
        <v>352</v>
      </c>
      <c r="D5" s="46" t="s">
        <v>353</v>
      </c>
      <c r="E5" s="46" t="s">
        <v>354</v>
      </c>
      <c r="F5" s="46" t="s">
        <v>355</v>
      </c>
      <c r="G5" s="46" t="s">
        <v>356</v>
      </c>
    </row>
    <row r="6" customFormat="false" ht="15" hidden="false" customHeight="true" outlineLevel="0" collapsed="false">
      <c r="A6" s="9" t="s">
        <v>357</v>
      </c>
      <c r="B6" s="30" t="n">
        <v>1</v>
      </c>
      <c r="C6" s="52" t="n">
        <f aca="false">B6*(1+INPUTS!$C$61)</f>
        <v>2.5</v>
      </c>
      <c r="D6" s="52" t="n">
        <f aca="false">C6*(1+INPUTS!$D$61)</f>
        <v>5</v>
      </c>
      <c r="E6" s="52" t="n">
        <f aca="false">D6*(1+INPUTS!$E$61)</f>
        <v>8.35</v>
      </c>
      <c r="F6" s="52" t="n">
        <f aca="false">E6*(1+INPUTS!$F$61)</f>
        <v>13.36</v>
      </c>
    </row>
    <row r="7" customFormat="false" ht="15" hidden="false" customHeight="true" outlineLevel="0" collapsed="false">
      <c r="A7" s="9" t="s">
        <v>358</v>
      </c>
      <c r="B7" s="42" t="n">
        <f aca="false">CALC_MONTHLY!N7</f>
        <v>70925</v>
      </c>
      <c r="C7" s="29" t="n">
        <f aca="false">ROUND($B$7*C6,0)</f>
        <v>177313</v>
      </c>
      <c r="D7" s="29" t="n">
        <f aca="false">ROUND($B$7*D6,0)</f>
        <v>354625</v>
      </c>
      <c r="E7" s="29" t="n">
        <f aca="false">ROUND($B$7*E6,0)</f>
        <v>592224</v>
      </c>
      <c r="F7" s="29" t="n">
        <f aca="false">ROUND($B$7*F6,0)</f>
        <v>947558</v>
      </c>
      <c r="G7" s="48" t="n">
        <f aca="false">SUM(B7:F7)</f>
        <v>2142645</v>
      </c>
    </row>
    <row r="8" customFormat="false" ht="15" hidden="false" customHeight="true" outlineLevel="0" collapsed="false">
      <c r="A8" s="9" t="s">
        <v>359</v>
      </c>
      <c r="B8" s="42" t="n">
        <f aca="false">CALC_MONTHLY!N8</f>
        <v>66575</v>
      </c>
      <c r="C8" s="29" t="n">
        <f aca="false">ROUND($B$8*C6,0)</f>
        <v>166438</v>
      </c>
      <c r="D8" s="29" t="n">
        <f aca="false">ROUND($B$8*D6,0)</f>
        <v>332875</v>
      </c>
      <c r="E8" s="29" t="n">
        <f aca="false">ROUND($B$8*E6,0)</f>
        <v>555901</v>
      </c>
      <c r="F8" s="29" t="n">
        <f aca="false">ROUND($B$8*F6,0)</f>
        <v>889442</v>
      </c>
      <c r="G8" s="48" t="n">
        <f aca="false">SUM(B8:F8)</f>
        <v>2011231</v>
      </c>
    </row>
    <row r="9" customFormat="false" ht="15" hidden="false" customHeight="true" outlineLevel="0" collapsed="false">
      <c r="A9" s="17" t="s">
        <v>360</v>
      </c>
      <c r="B9" s="48" t="n">
        <f aca="false">B7+B8</f>
        <v>137500</v>
      </c>
      <c r="C9" s="48" t="n">
        <f aca="false">C7+C8</f>
        <v>343751</v>
      </c>
      <c r="D9" s="48" t="n">
        <f aca="false">D7+D8</f>
        <v>687500</v>
      </c>
      <c r="E9" s="48" t="n">
        <f aca="false">E7+E8</f>
        <v>1148125</v>
      </c>
      <c r="F9" s="48" t="n">
        <f aca="false">F7+F8</f>
        <v>1837000</v>
      </c>
      <c r="G9" s="48" t="n">
        <f aca="false">SUM(B9:F9)</f>
        <v>4153876</v>
      </c>
    </row>
    <row r="10" customFormat="false" ht="15" hidden="false" customHeight="true" outlineLevel="0" collapsed="false">
      <c r="A10" s="9" t="s">
        <v>361</v>
      </c>
      <c r="B10" s="42" t="n">
        <f aca="false">MATCH(B9,INPUTS!C51:C57,1)</f>
        <v>4</v>
      </c>
      <c r="C10" s="42" t="n">
        <f aca="false">MATCH(C9,INPUTS!C51:C57,1)</f>
        <v>4</v>
      </c>
      <c r="D10" s="42" t="n">
        <f aca="false">MATCH(D9,INPUTS!C51:C57,1)</f>
        <v>5</v>
      </c>
      <c r="E10" s="42" t="n">
        <f aca="false">MATCH(E9,INPUTS!C51:C57,1)</f>
        <v>6</v>
      </c>
      <c r="F10" s="42" t="n">
        <f aca="false">MATCH(F9,INPUTS!C51:C57,1)</f>
        <v>6</v>
      </c>
    </row>
    <row r="11" customFormat="false" ht="15" hidden="false" customHeight="true" outlineLevel="0" collapsed="false">
      <c r="A11" s="9" t="s">
        <v>362</v>
      </c>
      <c r="B11" s="37" t="n">
        <f aca="false" t="array" ref="B11:B11">INDEX(CALC_COGS!I7:I13,B10)</f>
        <v>1.6942478</v>
      </c>
      <c r="C11" s="37" t="n">
        <f aca="false" t="array" ref="C11:C11">INDEX(CALC_COGS!I7:I13,C10)</f>
        <v>1.6942478</v>
      </c>
      <c r="D11" s="37" t="n">
        <f aca="false" t="array" ref="D11:D11">INDEX(CALC_COGS!I7:I13,D10)</f>
        <v>1.51087333333333</v>
      </c>
      <c r="E11" s="37" t="n">
        <f aca="false" t="array" ref="E11:E11">INDEX(CALC_COGS!I7:I13,E10)</f>
        <v>1.435963104</v>
      </c>
      <c r="F11" s="37" t="n">
        <f aca="false" t="array" ref="F11:F11">INDEX(CALC_COGS!I7:I13,F10)</f>
        <v>1.435963104</v>
      </c>
    </row>
    <row r="12" customFormat="false" ht="15" hidden="false" customHeight="true" outlineLevel="0" collapsed="false">
      <c r="A12" s="9" t="s">
        <v>363</v>
      </c>
      <c r="B12" s="37" t="n">
        <f aca="false" t="array" ref="B12:B12">INDEX(CALC_COGS!I18:I24,B10)</f>
        <v>0.5915048</v>
      </c>
      <c r="C12" s="37" t="n">
        <f aca="false" t="array" ref="C12:C12">INDEX(CALC_COGS!I18:I24,C10)</f>
        <v>0.5915048</v>
      </c>
      <c r="D12" s="37" t="n">
        <f aca="false" t="array" ref="D12:D12">INDEX(CALC_COGS!I18:I24,D10)</f>
        <v>0.496957333333333</v>
      </c>
      <c r="E12" s="37" t="n">
        <f aca="false" t="array" ref="E12:E12">INDEX(CALC_COGS!I18:I24,E10)</f>
        <v>0.472047104</v>
      </c>
      <c r="F12" s="37" t="n">
        <f aca="false" t="array" ref="F12:F12">INDEX(CALC_COGS!I18:I24,F10)</f>
        <v>0.472047104</v>
      </c>
    </row>
    <row r="14" customFormat="false" ht="18" hidden="false" customHeight="true" outlineLevel="0" collapsed="false">
      <c r="A14" s="6" t="s">
        <v>364</v>
      </c>
      <c r="B14" s="7"/>
      <c r="C14" s="7"/>
      <c r="D14" s="7"/>
      <c r="E14" s="7"/>
      <c r="F14" s="7"/>
      <c r="G14" s="7"/>
    </row>
    <row r="15" customFormat="false" ht="15" hidden="false" customHeight="true" outlineLevel="0" collapsed="false">
      <c r="A15" s="9" t="s">
        <v>365</v>
      </c>
      <c r="B15" s="41" t="n">
        <f aca="false">SUMPRODUCT(--(INPUTS!B41:B46="Yes"),B$7*INPUTS!C41:C46/CALC_MONTHLY!$B$3*INPUTS!D41:D46+B$8*INPUTS!C41:C46/CALC_MONTHLY!$B$3*INPUTS!E41:E46)</f>
        <v>305279.85</v>
      </c>
      <c r="C15" s="41" t="n">
        <f aca="false">SUMPRODUCT(--(INPUTS!B41:B46="Yes"),C$7*INPUTS!C41:C46/CALC_MONTHLY!$B$3*INPUTS!D41:D46+C$8*INPUTS!C41:C46/CALC_MONTHLY!$B$3*INPUTS!E41:E46)</f>
        <v>763201.83</v>
      </c>
      <c r="D15" s="41" t="n">
        <f aca="false">SUMPRODUCT(--(INPUTS!B41:B46="Yes"),D$7*INPUTS!C41:C46/CALC_MONTHLY!$B$3*INPUTS!D41:D46+D$8*INPUTS!C41:C46/CALC_MONTHLY!$B$3*INPUTS!E41:E46)</f>
        <v>1526399.25</v>
      </c>
      <c r="E15" s="41" t="n">
        <f aca="false">SUMPRODUCT(--(INPUTS!B41:B46="Yes"),E$7*INPUTS!C41:C46/CALC_MONTHLY!$B$3*INPUTS!D41:D46+E$8*INPUTS!C41:C46/CALC_MONTHLY!$B$3*INPUTS!E41:E46)</f>
        <v>2549086.988</v>
      </c>
      <c r="F15" s="41" t="n">
        <f aca="false">SUMPRODUCT(--(INPUTS!B41:B46="Yes"),F$7*INPUTS!C41:C46/CALC_MONTHLY!$B$3*INPUTS!D41:D46+F$8*INPUTS!C41:C46/CALC_MONTHLY!$B$3*INPUTS!E41:E46)</f>
        <v>4078538.796</v>
      </c>
      <c r="G15" s="50" t="n">
        <f aca="false">SUM(B15:F15)</f>
        <v>9222506.714</v>
      </c>
    </row>
    <row r="16" customFormat="false" ht="15" hidden="false" customHeight="true" outlineLevel="0" collapsed="false">
      <c r="A16" s="9" t="s">
        <v>366</v>
      </c>
      <c r="B16" s="41" t="n">
        <f aca="false">B15*INPUTS!$B$5</f>
        <v>6105.597</v>
      </c>
      <c r="C16" s="41" t="n">
        <f aca="false">C15*INPUTS!$B$5</f>
        <v>15264.0366</v>
      </c>
      <c r="D16" s="41" t="n">
        <f aca="false">D15*INPUTS!$B$5</f>
        <v>30527.985</v>
      </c>
      <c r="E16" s="41" t="n">
        <f aca="false">E15*INPUTS!$B$5</f>
        <v>50981.73976</v>
      </c>
      <c r="F16" s="41" t="n">
        <f aca="false">F15*INPUTS!$B$5</f>
        <v>81570.77592</v>
      </c>
      <c r="G16" s="50" t="n">
        <f aca="false">SUM(B16:F16)</f>
        <v>184450.13428</v>
      </c>
    </row>
    <row r="17" customFormat="false" ht="15" hidden="false" customHeight="true" outlineLevel="0" collapsed="false">
      <c r="A17" s="17" t="s">
        <v>367</v>
      </c>
      <c r="B17" s="50" t="n">
        <f aca="false">B15-B16</f>
        <v>299174.253</v>
      </c>
      <c r="C17" s="50" t="n">
        <f aca="false">C15-C16</f>
        <v>747937.7934</v>
      </c>
      <c r="D17" s="50" t="n">
        <f aca="false">D15-D16</f>
        <v>1495871.265</v>
      </c>
      <c r="E17" s="50" t="n">
        <f aca="false">E15-E16</f>
        <v>2498105.24824</v>
      </c>
      <c r="F17" s="50" t="n">
        <f aca="false">F15-F16</f>
        <v>3996968.02008</v>
      </c>
      <c r="G17" s="50" t="n">
        <f aca="false">SUM(B17:F17)</f>
        <v>9038056.57972</v>
      </c>
    </row>
    <row r="18" customFormat="false" ht="15" hidden="false" customHeight="true" outlineLevel="0" collapsed="false">
      <c r="A18" s="9" t="s">
        <v>368</v>
      </c>
      <c r="B18" s="41" t="n">
        <f aca="false">INPUTS!B67</f>
        <v>0</v>
      </c>
      <c r="C18" s="41" t="n">
        <f aca="false">INPUTS!C67</f>
        <v>500000</v>
      </c>
      <c r="D18" s="41" t="n">
        <f aca="false">INPUTS!D67</f>
        <v>3000000</v>
      </c>
      <c r="E18" s="41" t="n">
        <f aca="false">INPUTS!E67</f>
        <v>8000000</v>
      </c>
      <c r="F18" s="41" t="n">
        <f aca="false">INPUTS!F67</f>
        <v>18000000</v>
      </c>
      <c r="G18" s="50" t="n">
        <f aca="false">SUM(B18:F18)</f>
        <v>29500000</v>
      </c>
    </row>
    <row r="19" customFormat="false" ht="15" hidden="false" customHeight="true" outlineLevel="0" collapsed="false">
      <c r="A19" s="17" t="s">
        <v>369</v>
      </c>
      <c r="B19" s="51" t="n">
        <f aca="false">B17+B18</f>
        <v>299174.253</v>
      </c>
      <c r="C19" s="51" t="n">
        <f aca="false">C17+C18</f>
        <v>1247937.7934</v>
      </c>
      <c r="D19" s="51" t="n">
        <f aca="false">D17+D18</f>
        <v>4495871.265</v>
      </c>
      <c r="E19" s="51" t="n">
        <f aca="false">E17+E18</f>
        <v>10498105.24824</v>
      </c>
      <c r="F19" s="51" t="n">
        <f aca="false">F17+F18</f>
        <v>21996968.02008</v>
      </c>
      <c r="G19" s="51" t="n">
        <f aca="false">SUM(B19:F19)</f>
        <v>38538056.57972</v>
      </c>
    </row>
    <row r="21" customFormat="false" ht="18" hidden="false" customHeight="true" outlineLevel="0" collapsed="false">
      <c r="A21" s="6" t="s">
        <v>370</v>
      </c>
      <c r="B21" s="7"/>
      <c r="C21" s="7"/>
      <c r="D21" s="7"/>
      <c r="E21" s="7"/>
      <c r="F21" s="7"/>
      <c r="G21" s="7"/>
    </row>
    <row r="22" customFormat="false" ht="15.75" hidden="false" customHeight="true" outlineLevel="0" collapsed="false">
      <c r="A22" s="9" t="s">
        <v>371</v>
      </c>
      <c r="B22" s="31" t="n">
        <f aca="false">B11*B7+B12*B8</f>
        <v>159543.957275</v>
      </c>
      <c r="C22" s="31" t="n">
        <f aca="false">C11*C7+C12*C8</f>
        <v>398861.0360638</v>
      </c>
      <c r="D22" s="31" t="n">
        <f aca="false">D11*D7+D12*D8</f>
        <v>701218.128166667</v>
      </c>
      <c r="E22" s="31" t="n">
        <f aca="false">E11*E7+E12*E8</f>
        <v>1112823.270464</v>
      </c>
      <c r="F22" s="31" t="n">
        <f aca="false">F11*F7+F12*F8</f>
        <v>1780516.847176</v>
      </c>
      <c r="G22" s="50" t="n">
        <f aca="false">SUM(B22:F22)</f>
        <v>4152963.23914547</v>
      </c>
    </row>
    <row r="23" customFormat="false" ht="15.75" hidden="false" customHeight="true" outlineLevel="0" collapsed="false">
      <c r="A23" s="9" t="s">
        <v>372</v>
      </c>
      <c r="B23" s="41" t="n">
        <f aca="false">B18*INPUTS!$B$68</f>
        <v>0</v>
      </c>
      <c r="C23" s="41" t="n">
        <f aca="false">C18*INPUTS!$B$68</f>
        <v>125000</v>
      </c>
      <c r="D23" s="41" t="n">
        <f aca="false">D18*INPUTS!$B$68</f>
        <v>750000</v>
      </c>
      <c r="E23" s="41" t="n">
        <f aca="false">E18*INPUTS!$B$68</f>
        <v>2000000</v>
      </c>
      <c r="F23" s="41" t="n">
        <f aca="false">F18*INPUTS!$B$68</f>
        <v>4500000</v>
      </c>
      <c r="G23" s="50" t="n">
        <f aca="false">SUM(B23:F23)</f>
        <v>7375000</v>
      </c>
    </row>
    <row r="24" customFormat="false" ht="15.75" hidden="false" customHeight="true" outlineLevel="0" collapsed="false">
      <c r="A24" s="17" t="s">
        <v>373</v>
      </c>
      <c r="B24" s="50" t="n">
        <f aca="false">B22+B23</f>
        <v>159543.957275</v>
      </c>
      <c r="C24" s="50" t="n">
        <f aca="false">C22+C23</f>
        <v>523861.0360638</v>
      </c>
      <c r="D24" s="50" t="n">
        <f aca="false">D22+D23</f>
        <v>1451218.12816667</v>
      </c>
      <c r="E24" s="50" t="n">
        <f aca="false">E22+E23</f>
        <v>3112823.270464</v>
      </c>
      <c r="F24" s="50" t="n">
        <f aca="false">F22+F23</f>
        <v>6280516.847176</v>
      </c>
      <c r="G24" s="50" t="n">
        <f aca="false">SUM(B24:F24)</f>
        <v>11527963.2391455</v>
      </c>
    </row>
    <row r="25" customFormat="false" ht="15.75" hidden="false" customHeight="true" outlineLevel="0" collapsed="false">
      <c r="A25" s="17" t="s">
        <v>374</v>
      </c>
      <c r="B25" s="51" t="n">
        <f aca="false">B19-B24</f>
        <v>139630.295725</v>
      </c>
      <c r="C25" s="51" t="n">
        <f aca="false">C19-C24</f>
        <v>724076.7573362</v>
      </c>
      <c r="D25" s="51" t="n">
        <f aca="false">D19-D24</f>
        <v>3044653.13683333</v>
      </c>
      <c r="E25" s="51" t="n">
        <f aca="false">E19-E24</f>
        <v>7385281.977776</v>
      </c>
      <c r="F25" s="51" t="n">
        <f aca="false">F19-F24</f>
        <v>15716451.172904</v>
      </c>
      <c r="G25" s="51" t="n">
        <f aca="false">SUM(B25:F25)</f>
        <v>27010093.3405745</v>
      </c>
    </row>
    <row r="26" customFormat="false" ht="15.75" hidden="false" customHeight="true" outlineLevel="0" collapsed="false">
      <c r="A26" s="9" t="s">
        <v>375</v>
      </c>
      <c r="B26" s="24" t="n">
        <f aca="false">IF(B19=0,0,B25/B19)</f>
        <v>0.466718958348999</v>
      </c>
      <c r="C26" s="24" t="n">
        <f aca="false">IF(C19=0,0,C25/C19)</f>
        <v>0.580218630420237</v>
      </c>
      <c r="D26" s="24" t="n">
        <f aca="false">IF(D19=0,0,D25/D19)</f>
        <v>0.677210924729032</v>
      </c>
      <c r="E26" s="24" t="n">
        <f aca="false">IF(E19=0,0,E25/E19)</f>
        <v>0.70348713440591</v>
      </c>
      <c r="F26" s="24" t="n">
        <f aca="false">IF(F19=0,0,F25/F19)</f>
        <v>0.714482612265344</v>
      </c>
    </row>
    <row r="27" customFormat="false" ht="15.75" hidden="false" customHeight="true" outlineLevel="0" collapsed="false"/>
    <row r="28" customFormat="false" ht="18" hidden="false" customHeight="true" outlineLevel="0" collapsed="false">
      <c r="A28" s="6" t="s">
        <v>376</v>
      </c>
      <c r="B28" s="7"/>
      <c r="C28" s="7"/>
      <c r="D28" s="7"/>
      <c r="E28" s="7"/>
      <c r="F28" s="7"/>
      <c r="G28" s="7"/>
    </row>
    <row r="29" customFormat="false" ht="15.75" hidden="false" customHeight="true" outlineLevel="0" collapsed="false">
      <c r="A29" s="9" t="s">
        <v>377</v>
      </c>
      <c r="B29" s="41" t="n">
        <f aca="false">SUMPRODUCT(--(INPUTS!B41:B46="Yes"),(B$7+B$8)*INPUTS!C41:C46/CALC_MONTHLY!$B$3*INPUTS!F41:F46)</f>
        <v>84356.25</v>
      </c>
      <c r="C29" s="41" t="n">
        <f aca="false">SUMPRODUCT(--(INPUTS!B41:B46="Yes"),(C$7+C$8)*INPUTS!C41:C46/CALC_MONTHLY!$B$3*INPUTS!F41:F46)</f>
        <v>210891.2385</v>
      </c>
      <c r="D29" s="41" t="n">
        <f aca="false">SUMPRODUCT(--(INPUTS!B41:B46="Yes"),(D$7+D$8)*INPUTS!C41:C46/CALC_MONTHLY!$B$3*INPUTS!F41:F46)</f>
        <v>421781.25</v>
      </c>
      <c r="E29" s="41" t="n">
        <f aca="false">SUMPRODUCT(--(INPUTS!B41:B46="Yes"),(E$7+E$8)*INPUTS!C41:C46/CALC_MONTHLY!$B$3*INPUTS!F41:F46)</f>
        <v>704374.6875</v>
      </c>
      <c r="F29" s="41" t="n">
        <f aca="false">SUMPRODUCT(--(INPUTS!B41:B46="Yes"),(F$7+F$8)*INPUTS!C41:C46/CALC_MONTHLY!$B$3*INPUTS!F41:F46)</f>
        <v>1126999.5</v>
      </c>
      <c r="G29" s="50" t="n">
        <f aca="false">SUM(B29:F29)</f>
        <v>2548402.926</v>
      </c>
    </row>
    <row r="30" customFormat="false" ht="15.75" hidden="false" customHeight="true" outlineLevel="0" collapsed="false">
      <c r="A30" s="9" t="s">
        <v>378</v>
      </c>
      <c r="B30" s="41" t="n">
        <f aca="false">(INPUTS!$B$25+INPUTS!$B$26)*12*INPUTS!B66</f>
        <v>84000</v>
      </c>
      <c r="C30" s="41" t="n">
        <f aca="false">(INPUTS!$B$25+INPUTS!$B$26)*12*INPUTS!C66</f>
        <v>126000</v>
      </c>
      <c r="D30" s="41" t="n">
        <f aca="false">(INPUTS!$B$25+INPUTS!$B$26)*12*INPUTS!D66</f>
        <v>168000</v>
      </c>
      <c r="E30" s="41" t="n">
        <f aca="false">(INPUTS!$B$25+INPUTS!$B$26)*12*INPUTS!E66</f>
        <v>210000</v>
      </c>
      <c r="F30" s="41" t="n">
        <f aca="false">(INPUTS!$B$25+INPUTS!$B$26)*12*INPUTS!F66</f>
        <v>252000</v>
      </c>
      <c r="G30" s="50" t="n">
        <f aca="false">SUM(B30:F30)</f>
        <v>840000</v>
      </c>
    </row>
    <row r="31" customFormat="false" ht="15.75" hidden="false" customHeight="true" outlineLevel="0" collapsed="false">
      <c r="A31" s="9" t="s">
        <v>379</v>
      </c>
      <c r="B31" s="41" t="n">
        <f aca="false">INPUTS!B62</f>
        <v>150000</v>
      </c>
      <c r="C31" s="41" t="n">
        <f aca="false">INPUTS!C62</f>
        <v>250000</v>
      </c>
      <c r="D31" s="41" t="n">
        <f aca="false">INPUTS!D62</f>
        <v>400000</v>
      </c>
      <c r="E31" s="41" t="n">
        <f aca="false">INPUTS!E62</f>
        <v>600000</v>
      </c>
      <c r="F31" s="41" t="n">
        <f aca="false">INPUTS!F62</f>
        <v>800000</v>
      </c>
      <c r="G31" s="50" t="n">
        <f aca="false">SUM(B31:F31)</f>
        <v>2200000</v>
      </c>
    </row>
    <row r="32" customFormat="false" ht="15.75" hidden="false" customHeight="true" outlineLevel="0" collapsed="false">
      <c r="A32" s="9" t="s">
        <v>380</v>
      </c>
      <c r="B32" s="41" t="n">
        <f aca="false">INPUTS!B63</f>
        <v>200000</v>
      </c>
      <c r="C32" s="41" t="n">
        <f aca="false">INPUTS!C63</f>
        <v>400000</v>
      </c>
      <c r="D32" s="41" t="n">
        <f aca="false">INPUTS!D63</f>
        <v>750000</v>
      </c>
      <c r="E32" s="41" t="n">
        <f aca="false">INPUTS!E63</f>
        <v>1250000</v>
      </c>
      <c r="F32" s="41" t="n">
        <f aca="false">INPUTS!F63</f>
        <v>1800000</v>
      </c>
      <c r="G32" s="50" t="n">
        <f aca="false">SUM(B32:F32)</f>
        <v>4400000</v>
      </c>
    </row>
    <row r="33" customFormat="false" ht="15.75" hidden="false" customHeight="true" outlineLevel="0" collapsed="false">
      <c r="A33" s="9" t="s">
        <v>381</v>
      </c>
      <c r="B33" s="41" t="n">
        <f aca="false">INPUTS!B64</f>
        <v>0</v>
      </c>
      <c r="C33" s="41" t="n">
        <f aca="false">INPUTS!C64</f>
        <v>150000</v>
      </c>
      <c r="D33" s="41" t="n">
        <f aca="false">INPUTS!D64</f>
        <v>400000</v>
      </c>
      <c r="E33" s="41" t="n">
        <f aca="false">INPUTS!E64</f>
        <v>800000</v>
      </c>
      <c r="F33" s="41" t="n">
        <f aca="false">INPUTS!F64</f>
        <v>1500000</v>
      </c>
      <c r="G33" s="50" t="n">
        <f aca="false">SUM(B33:F33)</f>
        <v>2850000</v>
      </c>
    </row>
    <row r="34" customFormat="false" ht="15.75" hidden="false" customHeight="true" outlineLevel="0" collapsed="false">
      <c r="A34" s="9" t="s">
        <v>382</v>
      </c>
      <c r="B34" s="41" t="n">
        <f aca="false">INPUTS!B65</f>
        <v>100000</v>
      </c>
      <c r="C34" s="41" t="n">
        <f aca="false">INPUTS!C65</f>
        <v>200000</v>
      </c>
      <c r="D34" s="41" t="n">
        <f aca="false">INPUTS!D65</f>
        <v>100000</v>
      </c>
      <c r="E34" s="41" t="n">
        <f aca="false">INPUTS!E65</f>
        <v>50000</v>
      </c>
      <c r="F34" s="41" t="n">
        <f aca="false">INPUTS!F65</f>
        <v>50000</v>
      </c>
      <c r="G34" s="50" t="n">
        <f aca="false">SUM(B34:F34)</f>
        <v>500000</v>
      </c>
    </row>
    <row r="35" customFormat="false" ht="15.75" hidden="false" customHeight="true" outlineLevel="0" collapsed="false">
      <c r="A35" s="9" t="s">
        <v>383</v>
      </c>
      <c r="B35" s="41" t="n">
        <f aca="false">INPUTS!$B$27*12*INPUTS!B66</f>
        <v>72000</v>
      </c>
      <c r="C35" s="41" t="n">
        <f aca="false">INPUTS!$B$27*12*INPUTS!C66</f>
        <v>108000</v>
      </c>
      <c r="D35" s="41" t="n">
        <f aca="false">INPUTS!$B$27*12*INPUTS!D66</f>
        <v>144000</v>
      </c>
      <c r="E35" s="41" t="n">
        <f aca="false">INPUTS!$B$27*12*INPUTS!E66</f>
        <v>180000</v>
      </c>
      <c r="F35" s="41" t="n">
        <f aca="false">INPUTS!$B$27*12*INPUTS!F66</f>
        <v>216000</v>
      </c>
      <c r="G35" s="50" t="n">
        <f aca="false">SUM(B35:F35)</f>
        <v>720000</v>
      </c>
    </row>
    <row r="36" customFormat="false" ht="15.75" hidden="false" customHeight="true" outlineLevel="0" collapsed="false">
      <c r="A36" s="9" t="s">
        <v>384</v>
      </c>
      <c r="B36" s="41" t="n">
        <f aca="false">B9*INPUTS!$B$8*INPUTS!$B$14</f>
        <v>687.5</v>
      </c>
      <c r="C36" s="41" t="n">
        <f aca="false">C9*INPUTS!$B$8*INPUTS!$B$14</f>
        <v>1718.755</v>
      </c>
      <c r="D36" s="41" t="n">
        <f aca="false">D9*INPUTS!$B$8*INPUTS!$B$14</f>
        <v>3437.5</v>
      </c>
      <c r="E36" s="41" t="n">
        <f aca="false">E9*INPUTS!$B$8*INPUTS!$B$14</f>
        <v>5740.625</v>
      </c>
      <c r="F36" s="41" t="n">
        <f aca="false">F9*INPUTS!$B$8*INPUTS!$B$14</f>
        <v>9185</v>
      </c>
      <c r="G36" s="50" t="n">
        <f aca="false">SUM(B36:F36)</f>
        <v>20769.38</v>
      </c>
    </row>
    <row r="37" customFormat="false" ht="15.75" hidden="false" customHeight="true" outlineLevel="0" collapsed="false">
      <c r="A37" s="9" t="s">
        <v>385</v>
      </c>
      <c r="B37" s="41" t="n">
        <f aca="false">B7*INPUTS!$B$11*B11*INPUTS!$B$13+B8*INPUTS!$B$12*B12*INPUTS!$B$13</f>
        <v>2038.744470585</v>
      </c>
      <c r="C37" s="41" t="n">
        <f aca="false">C7*INPUTS!$B$11*C11*INPUTS!$B$13+C8*INPUTS!$B$12*C12*INPUTS!$B$13</f>
        <v>5096.8756578354</v>
      </c>
      <c r="D37" s="41" t="n">
        <f aca="false">D7*INPUTS!$B$11*D11*INPUTS!$B$13+D8*INPUTS!$B$12*D12*INPUTS!$B$13</f>
        <v>9029.4498715</v>
      </c>
      <c r="E37" s="41" t="n">
        <f aca="false">E7*INPUTS!$B$11*E11*INPUTS!$B$13+E8*INPUTS!$B$12*E12*INPUTS!$B$13</f>
        <v>14330.6459425137</v>
      </c>
      <c r="F37" s="41" t="n">
        <f aca="false">F7*INPUTS!$B$11*F11*INPUTS!$B$13+F8*INPUTS!$B$12*F12*INPUTS!$B$13</f>
        <v>22929.0260251563</v>
      </c>
      <c r="G37" s="50" t="n">
        <f aca="false">SUM(B37:F37)</f>
        <v>53424.7419675904</v>
      </c>
    </row>
    <row r="38" customFormat="false" ht="15.75" hidden="false" customHeight="true" outlineLevel="0" collapsed="false">
      <c r="A38" s="9" t="s">
        <v>386</v>
      </c>
      <c r="B38" s="41" t="n">
        <f aca="false">INPUTS!$C$139*12</f>
        <v>66000</v>
      </c>
      <c r="C38" s="41" t="n">
        <f aca="false">INPUTS!$C$139*12</f>
        <v>66000</v>
      </c>
      <c r="D38" s="41" t="n">
        <f aca="false">INPUTS!$C$139*12</f>
        <v>66000</v>
      </c>
      <c r="E38" s="41" t="n">
        <f aca="false">INPUTS!$C$139*12</f>
        <v>66000</v>
      </c>
      <c r="F38" s="41" t="n">
        <f aca="false">INPUTS!$C$139*12</f>
        <v>66000</v>
      </c>
      <c r="G38" s="50" t="n">
        <f aca="false">SUM(B38:F38)</f>
        <v>330000</v>
      </c>
    </row>
    <row r="39" customFormat="false" ht="15.75" hidden="false" customHeight="true" outlineLevel="0" collapsed="false">
      <c r="A39" s="9" t="s">
        <v>387</v>
      </c>
      <c r="B39" s="41" t="n">
        <f aca="false">(IF(AND(INPUTS!$B$130&gt;0,INPUTS!$B$132&gt;0),(INPUTS!$B$130*(INPUTS!$B$131/12)*POWER(1+INPUTS!$B$131/12,INPUTS!$B$132))/(POWER(1+INPUTS!$B$131/12,INPUTS!$B$132)-1),0))*12</f>
        <v>0</v>
      </c>
      <c r="C39" s="41" t="n">
        <f aca="false">(IF(AND(INPUTS!$B$130&gt;0,INPUTS!$B$132&gt;0),(INPUTS!$B$130*(INPUTS!$B$131/12)*POWER(1+INPUTS!$B$131/12,INPUTS!$B$132))/(POWER(1+INPUTS!$B$131/12,INPUTS!$B$132)-1),0))*12</f>
        <v>0</v>
      </c>
      <c r="D39" s="41" t="n">
        <f aca="false">(IF(AND(INPUTS!$B$130&gt;0,INPUTS!$B$132&gt;0),(INPUTS!$B$130*(INPUTS!$B$131/12)*POWER(1+INPUTS!$B$131/12,INPUTS!$B$132))/(POWER(1+INPUTS!$B$131/12,INPUTS!$B$132)-1),0))*12</f>
        <v>0</v>
      </c>
      <c r="E39" s="41" t="n">
        <f aca="false">(IF(AND(INPUTS!$B$130&gt;0,INPUTS!$B$132&gt;0),(INPUTS!$B$130*(INPUTS!$B$131/12)*POWER(1+INPUTS!$B$131/12,INPUTS!$B$132))/(POWER(1+INPUTS!$B$131/12,INPUTS!$B$132)-1),0))*12</f>
        <v>0</v>
      </c>
      <c r="F39" s="41" t="n">
        <f aca="false">(IF(AND(INPUTS!$B$130&gt;0,INPUTS!$B$132&gt;0),(INPUTS!$B$130*(INPUTS!$B$131/12)*POWER(1+INPUTS!$B$131/12,INPUTS!$B$132))/(POWER(1+INPUTS!$B$131/12,INPUTS!$B$132)-1),0))*12</f>
        <v>0</v>
      </c>
      <c r="G39" s="50" t="n">
        <f aca="false">SUM(B39:F39)</f>
        <v>0</v>
      </c>
    </row>
    <row r="40" customFormat="false" ht="15.75" hidden="false" customHeight="true" outlineLevel="0" collapsed="false">
      <c r="A40" s="17" t="s">
        <v>388</v>
      </c>
      <c r="B40" s="51" t="n">
        <f aca="false">SUM(B29:B39)</f>
        <v>759082.494470585</v>
      </c>
      <c r="C40" s="51" t="n">
        <f aca="false">SUM(C29:C39)</f>
        <v>1517706.86915784</v>
      </c>
      <c r="D40" s="51" t="n">
        <f aca="false">SUM(D29:D39)</f>
        <v>2462248.1998715</v>
      </c>
      <c r="E40" s="51" t="n">
        <f aca="false">SUM(E29:E39)</f>
        <v>3880445.95844251</v>
      </c>
      <c r="F40" s="51" t="n">
        <f aca="false">SUM(F29:F39)</f>
        <v>5843113.52602516</v>
      </c>
      <c r="G40" s="51" t="n">
        <f aca="false">SUM(B40:F40)</f>
        <v>14462597.0479676</v>
      </c>
    </row>
    <row r="41" customFormat="false" ht="15.75" hidden="false" customHeight="true" outlineLevel="0" collapsed="false"/>
    <row r="42" customFormat="false" ht="15.75" hidden="false" customHeight="true" outlineLevel="0" collapsed="false">
      <c r="A42" s="17" t="s">
        <v>389</v>
      </c>
      <c r="B42" s="51" t="n">
        <f aca="false">B25-B40</f>
        <v>-619452.198745585</v>
      </c>
      <c r="C42" s="51" t="n">
        <f aca="false">C25-C40</f>
        <v>-793630.111821636</v>
      </c>
      <c r="D42" s="51" t="n">
        <f aca="false">D25-D40</f>
        <v>582404.936961833</v>
      </c>
      <c r="E42" s="51" t="n">
        <f aca="false">E25-E40</f>
        <v>3504836.01933349</v>
      </c>
      <c r="F42" s="51" t="n">
        <f aca="false">F25-F40</f>
        <v>9873337.64687884</v>
      </c>
      <c r="G42" s="51" t="n">
        <f aca="false">SUM(B42:F42)</f>
        <v>12547496.2926069</v>
      </c>
    </row>
    <row r="43" customFormat="false" ht="15.75" hidden="false" customHeight="true" outlineLevel="0" collapsed="false">
      <c r="A43" s="9" t="s">
        <v>390</v>
      </c>
      <c r="B43" s="24" t="n">
        <f aca="false">IF(B19=0,0,B42/B19)</f>
        <v>-2.07053980258651</v>
      </c>
      <c r="C43" s="24" t="n">
        <f aca="false">IF(C19=0,0,C42/C19)</f>
        <v>-0.635953263070425</v>
      </c>
      <c r="D43" s="24" t="n">
        <f aca="false">IF(D19=0,0,D42/D19)</f>
        <v>0.12954217383754</v>
      </c>
      <c r="E43" s="24" t="n">
        <f aca="false">IF(E19=0,0,E42/E19)</f>
        <v>0.333854151435667</v>
      </c>
      <c r="F43" s="24" t="n">
        <f aca="false">IF(F19=0,0,F42/F19)</f>
        <v>0.448849934130283</v>
      </c>
    </row>
    <row r="44" customFormat="false" ht="15.75" hidden="false" customHeight="true" outlineLevel="0" collapsed="false">
      <c r="A44" s="17" t="s">
        <v>391</v>
      </c>
      <c r="B44" s="50" t="n">
        <f aca="false">B42</f>
        <v>-619452.198745585</v>
      </c>
      <c r="C44" s="50" t="n">
        <f aca="false">B44+C42</f>
        <v>-1413082.31056722</v>
      </c>
      <c r="D44" s="50" t="n">
        <f aca="false">C44+D42</f>
        <v>-830677.373605388</v>
      </c>
      <c r="E44" s="50" t="n">
        <f aca="false">D44+E42</f>
        <v>2674158.6457281</v>
      </c>
      <c r="F44" s="50" t="n">
        <f aca="false">E44+F42</f>
        <v>12547496.2926069</v>
      </c>
    </row>
    <row r="45" customFormat="false" ht="15.75" hidden="false" customHeight="true" outlineLevel="0" collapsed="false"/>
    <row r="46" customFormat="false" ht="15.75" hidden="false" customHeight="true" outlineLevel="0" collapsed="false">
      <c r="A46" s="20" t="s">
        <v>392</v>
      </c>
      <c r="B46" s="41" t="n">
        <f aca="false">(INPUTS!$B$128+INPUTS!$B$129+INPUTS!$B$130-INPUTS!$B$125)+B42</f>
        <v>1748047.80125442</v>
      </c>
      <c r="C46" s="31" t="n">
        <f aca="false">B46+C42</f>
        <v>954417.689432779</v>
      </c>
      <c r="D46" s="31" t="n">
        <f aca="false">C46+D42</f>
        <v>1536822.62639461</v>
      </c>
      <c r="E46" s="31" t="n">
        <f aca="false">D46+E42</f>
        <v>5041658.6457281</v>
      </c>
      <c r="F46" s="31" t="n">
        <f aca="false">E46+F42</f>
        <v>14914996.2926069</v>
      </c>
      <c r="G46" s="11" t="s">
        <v>393</v>
      </c>
    </row>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D12" activeCellId="0" sqref="D12"/>
    </sheetView>
  </sheetViews>
  <sheetFormatPr defaultColWidth="14.43359375" defaultRowHeight="15" customHeight="true" zeroHeight="false" outlineLevelRow="0" outlineLevelCol="0"/>
  <cols>
    <col collapsed="false" customWidth="true" hidden="false" outlineLevel="0" max="1" min="1" style="1" width="74.71"/>
    <col collapsed="false" customWidth="true" hidden="false" outlineLevel="0" max="2" min="2" style="1" width="11.71"/>
    <col collapsed="false" customWidth="true" hidden="false" outlineLevel="0" max="3" min="3" style="1" width="9.71"/>
    <col collapsed="false" customWidth="true" hidden="false" outlineLevel="0" max="4" min="4" style="1" width="11.85"/>
    <col collapsed="false" customWidth="true" hidden="false" outlineLevel="0" max="8" min="5" style="1" width="12"/>
    <col collapsed="false" customWidth="true" hidden="false" outlineLevel="0" max="9" min="9" style="1" width="11"/>
    <col collapsed="false" customWidth="true" hidden="false" outlineLevel="0" max="10" min="10" style="1" width="12"/>
    <col collapsed="false" customWidth="true" hidden="false" outlineLevel="0" max="11" min="11" style="1" width="11"/>
    <col collapsed="false" customWidth="true" hidden="false" outlineLevel="0" max="12" min="12" style="1" width="12"/>
    <col collapsed="false" customWidth="true" hidden="false" outlineLevel="0" max="13" min="13" style="1" width="11"/>
    <col collapsed="false" customWidth="true" hidden="false" outlineLevel="0" max="18" min="14" style="1" width="13"/>
    <col collapsed="false" customWidth="true" hidden="false" outlineLevel="0" max="19" min="19" style="1" width="7"/>
    <col collapsed="false" customWidth="true" hidden="false" outlineLevel="0" max="26" min="20" style="1" width="8.71"/>
  </cols>
  <sheetData>
    <row r="1" customFormat="false" ht="21.75" hidden="false" customHeight="true" outlineLevel="0" collapsed="false">
      <c r="A1" s="2" t="s">
        <v>394</v>
      </c>
    </row>
    <row r="2" customFormat="false" ht="42.75" hidden="false" customHeight="true" outlineLevel="0" collapsed="false">
      <c r="A2" s="11" t="s">
        <v>395</v>
      </c>
    </row>
    <row r="4" customFormat="false" ht="18" hidden="false" customHeight="true" outlineLevel="0" collapsed="false">
      <c r="A4" s="6" t="s">
        <v>396</v>
      </c>
      <c r="B4" s="7"/>
      <c r="C4" s="7"/>
      <c r="D4" s="7"/>
      <c r="E4" s="7"/>
      <c r="F4" s="7"/>
      <c r="G4" s="7"/>
      <c r="H4" s="7"/>
    </row>
    <row r="5" customFormat="false" ht="95.25" hidden="false" customHeight="true" outlineLevel="0" collapsed="false">
      <c r="A5" s="9" t="s">
        <v>261</v>
      </c>
      <c r="B5" s="15" t="n">
        <v>35</v>
      </c>
      <c r="D5" s="11" t="s">
        <v>397</v>
      </c>
    </row>
    <row r="6" customFormat="false" ht="74.25" hidden="false" customHeight="true" outlineLevel="0" collapsed="false">
      <c r="A6" s="9" t="s">
        <v>263</v>
      </c>
      <c r="B6" s="15" t="n">
        <v>60</v>
      </c>
      <c r="D6" s="11" t="s">
        <v>398</v>
      </c>
    </row>
    <row r="7" customFormat="false" ht="32.25" hidden="false" customHeight="true" outlineLevel="0" collapsed="false">
      <c r="A7" s="9" t="s">
        <v>265</v>
      </c>
      <c r="B7" s="15" t="n">
        <v>30</v>
      </c>
      <c r="D7" s="11" t="s">
        <v>399</v>
      </c>
    </row>
    <row r="8" customFormat="false" ht="15" hidden="false" customHeight="true" outlineLevel="0" collapsed="false">
      <c r="A8" s="17" t="s">
        <v>400</v>
      </c>
      <c r="B8" s="41" t="n">
        <f aca="false">INPUTS!$B$128+INPUTS!$B$129+INPUTS!$B$130</f>
        <v>2600000</v>
      </c>
    </row>
    <row r="9" customFormat="false" ht="15" hidden="false" customHeight="true" outlineLevel="0" collapsed="false">
      <c r="A9" s="17" t="s">
        <v>401</v>
      </c>
      <c r="B9" s="41" t="n">
        <f aca="false">INPUTS!$B$125</f>
        <v>232500</v>
      </c>
    </row>
    <row r="10" customFormat="false" ht="15" hidden="false" customHeight="true" outlineLevel="0" collapsed="false">
      <c r="A10" s="17" t="s">
        <v>402</v>
      </c>
      <c r="B10" s="50" t="n">
        <f aca="false">B8-B9</f>
        <v>2367500</v>
      </c>
    </row>
    <row r="11" customFormat="false" ht="15" hidden="false" customHeight="true" outlineLevel="0" collapsed="false">
      <c r="A11" s="8" t="s">
        <v>403</v>
      </c>
      <c r="B11" s="8" t="s">
        <v>404</v>
      </c>
      <c r="C11" s="8" t="s">
        <v>405</v>
      </c>
      <c r="D11" s="8" t="s">
        <v>406</v>
      </c>
      <c r="E11" s="8" t="s">
        <v>370</v>
      </c>
      <c r="F11" s="8" t="s">
        <v>407</v>
      </c>
      <c r="G11" s="8" t="s">
        <v>389</v>
      </c>
      <c r="H11" s="8" t="s">
        <v>408</v>
      </c>
      <c r="I11" s="8" t="s">
        <v>409</v>
      </c>
      <c r="J11" s="8" t="s">
        <v>410</v>
      </c>
      <c r="K11" s="8" t="s">
        <v>411</v>
      </c>
      <c r="L11" s="8" t="s">
        <v>412</v>
      </c>
      <c r="M11" s="8" t="s">
        <v>413</v>
      </c>
      <c r="N11" s="8" t="s">
        <v>414</v>
      </c>
      <c r="O11" s="8" t="s">
        <v>415</v>
      </c>
      <c r="P11" s="8" t="s">
        <v>416</v>
      </c>
      <c r="Q11" s="8" t="s">
        <v>417</v>
      </c>
      <c r="R11" s="8" t="s">
        <v>418</v>
      </c>
      <c r="S11" s="8" t="s">
        <v>419</v>
      </c>
    </row>
    <row r="12" customFormat="false" ht="15" hidden="false" customHeight="true" outlineLevel="0" collapsed="false">
      <c r="A12" s="29" t="n">
        <v>1</v>
      </c>
      <c r="B12" s="29" t="n">
        <f aca="false">INT((A12-1)/12)+1</f>
        <v>1</v>
      </c>
      <c r="C12" s="29" t="n">
        <f aca="false">MOD(A12-1,12)+1</f>
        <v>1</v>
      </c>
      <c r="D12" s="41" t="n">
        <f aca="false" t="array" ref="D12:D12">IF(B12=1,INDEX(CALC_MONTHLY!$B$66:$M$66,C12),INDEX(CALC_PL!$B$19:$F$19,B12)/12)</f>
        <v>4280.15</v>
      </c>
      <c r="E12" s="41" t="n">
        <f aca="false" t="array" ref="E12:E12">IF(B12=1,INDEX(CALC_MONTHLY!$B$7:$M$7,C12)*CALC_PL!$B$11+INDEX(CALC_MONTHLY!$B$8:$M$8,C12)*CALC_PL!$B$12,INDEX(CALC_PL!$B$24:$F$24,B12)/12)</f>
        <v>4650.93856</v>
      </c>
      <c r="F12" s="41" t="n">
        <f aca="false" t="array" ref="F12:F12">INDEX(CALC_PL!$B$40:$F$40,B12)/12</f>
        <v>63256.8745392154</v>
      </c>
      <c r="G12" s="31" t="n">
        <f aca="false">D12-E12-F12</f>
        <v>-63627.6630992154</v>
      </c>
      <c r="H12" s="31" t="n">
        <f aca="false">D12*$B$5/30</f>
        <v>4993.50833333333</v>
      </c>
      <c r="I12" s="31" t="n">
        <f aca="false">H12</f>
        <v>4993.50833333333</v>
      </c>
      <c r="J12" s="31" t="n">
        <f aca="false">E12*$B$6/30</f>
        <v>9301.87712</v>
      </c>
      <c r="K12" s="31" t="n">
        <f aca="false">J12</f>
        <v>9301.87712</v>
      </c>
      <c r="L12" s="31" t="n">
        <f aca="false">E12*$B$7/30</f>
        <v>4650.93856</v>
      </c>
      <c r="M12" s="31" t="n">
        <f aca="false">L12</f>
        <v>4650.93856</v>
      </c>
      <c r="N12" s="31" t="n">
        <f aca="false">G12-I12-K12+M12</f>
        <v>-73272.1099925488</v>
      </c>
      <c r="O12" s="31" t="n">
        <f aca="false">$B$10</f>
        <v>2367500</v>
      </c>
      <c r="P12" s="50" t="n">
        <f aca="false">O12+N12</f>
        <v>2294227.89000745</v>
      </c>
      <c r="Q12" s="31" t="n">
        <f aca="false">P12</f>
        <v>2294227.89000745</v>
      </c>
      <c r="R12" s="31" t="n">
        <f aca="false">G12</f>
        <v>-63627.6630992154</v>
      </c>
      <c r="S12" s="29" t="n">
        <f aca="false">IF(R12&gt;=0,A12,0)</f>
        <v>0</v>
      </c>
    </row>
    <row r="13" customFormat="false" ht="15" hidden="false" customHeight="true" outlineLevel="0" collapsed="false">
      <c r="A13" s="29" t="n">
        <v>2</v>
      </c>
      <c r="B13" s="29" t="n">
        <f aca="false">INT((A13-1)/12)+1</f>
        <v>1</v>
      </c>
      <c r="C13" s="29" t="n">
        <f aca="false">MOD(A13-1,12)+1</f>
        <v>2</v>
      </c>
      <c r="D13" s="41" t="n">
        <f aca="false" t="array" ref="D13:D13">IF(B13=1,INDEX(CALC_MONTHLY!$B$66:$M$66,C13),INDEX(CALC_PL!$B$19:$F$19,B13)/12)</f>
        <v>6401.85</v>
      </c>
      <c r="E13" s="41" t="n">
        <f aca="false" t="array" ref="E13:E13">IF(B13=1,INDEX(CALC_MONTHLY!$B$7:$M$7,C13)*CALC_PL!$B$11+INDEX(CALC_MONTHLY!$B$8:$M$8,C13)*CALC_PL!$B$12,INDEX(CALC_PL!$B$24:$F$24,B13)/12)</f>
        <v>6847.96544</v>
      </c>
      <c r="F13" s="41" t="n">
        <f aca="false" t="array" ref="F13:F13">INDEX(CALC_PL!$B$40:$F$40,B13)/12</f>
        <v>63256.8745392154</v>
      </c>
      <c r="G13" s="31" t="n">
        <f aca="false">D13-E13-F13</f>
        <v>-63702.9899792154</v>
      </c>
      <c r="H13" s="31" t="n">
        <f aca="false">D13*$B$5/30</f>
        <v>7468.825</v>
      </c>
      <c r="I13" s="31" t="n">
        <f aca="false">H13-H12</f>
        <v>2475.31666666667</v>
      </c>
      <c r="J13" s="31" t="n">
        <f aca="false">E13*$B$6/30</f>
        <v>13695.93088</v>
      </c>
      <c r="K13" s="31" t="n">
        <f aca="false">J13-J12</f>
        <v>4394.05376</v>
      </c>
      <c r="L13" s="31" t="n">
        <f aca="false">E13*$B$7/30</f>
        <v>6847.96544</v>
      </c>
      <c r="M13" s="31" t="n">
        <f aca="false">L13-L12</f>
        <v>2197.02688</v>
      </c>
      <c r="N13" s="31" t="n">
        <f aca="false">G13-I13-K13+M13</f>
        <v>-68375.3335258821</v>
      </c>
      <c r="O13" s="31" t="n">
        <f aca="false">P12</f>
        <v>2294227.89000745</v>
      </c>
      <c r="P13" s="50" t="n">
        <f aca="false">O13+N13</f>
        <v>2225852.55648157</v>
      </c>
      <c r="Q13" s="31" t="n">
        <f aca="false">MIN(Q12,P13)</f>
        <v>2225852.55648157</v>
      </c>
      <c r="R13" s="31" t="n">
        <f aca="false">R12+G13</f>
        <v>-127330.653078431</v>
      </c>
      <c r="S13" s="29" t="n">
        <f aca="false">IF(S12&gt;0,S12,IF(R13&gt;=0,A13,0))</f>
        <v>0</v>
      </c>
    </row>
    <row r="14" customFormat="false" ht="15" hidden="false" customHeight="true" outlineLevel="0" collapsed="false">
      <c r="A14" s="29" t="n">
        <v>3</v>
      </c>
      <c r="B14" s="29" t="n">
        <f aca="false">INT((A14-1)/12)+1</f>
        <v>1</v>
      </c>
      <c r="C14" s="29" t="n">
        <f aca="false">MOD(A14-1,12)+1</f>
        <v>3</v>
      </c>
      <c r="D14" s="41" t="n">
        <f aca="false" t="array" ref="D14:D14">IF(B14=1,INDEX(CALC_MONTHLY!$B$66:$M$66,C14),INDEX(CALC_PL!$B$19:$F$19,B14)/12)</f>
        <v>11956.98</v>
      </c>
      <c r="E14" s="41" t="n">
        <f aca="false" t="array" ref="E14:E14">IF(B14=1,INDEX(CALC_MONTHLY!$B$7:$M$7,C14)*CALC_PL!$B$11+INDEX(CALC_MONTHLY!$B$8:$M$8,C14)*CALC_PL!$B$12,INDEX(CALC_PL!$B$24:$F$24,B14)/12)</f>
        <v>8979.08088</v>
      </c>
      <c r="F14" s="41" t="n">
        <f aca="false" t="array" ref="F14:F14">INDEX(CALC_PL!$B$40:$F$40,B14)/12</f>
        <v>63256.8745392154</v>
      </c>
      <c r="G14" s="31" t="n">
        <f aca="false">D14-E14-F14</f>
        <v>-60278.9754192154</v>
      </c>
      <c r="H14" s="31" t="n">
        <f aca="false">D14*$B$5/30</f>
        <v>13949.81</v>
      </c>
      <c r="I14" s="31" t="n">
        <f aca="false">H14-H13</f>
        <v>6480.985</v>
      </c>
      <c r="J14" s="31" t="n">
        <f aca="false">E14*$B$6/30</f>
        <v>17958.16176</v>
      </c>
      <c r="K14" s="31" t="n">
        <f aca="false">J14-J13</f>
        <v>4262.23088</v>
      </c>
      <c r="L14" s="31" t="n">
        <f aca="false">E14*$B$7/30</f>
        <v>8979.08088</v>
      </c>
      <c r="M14" s="31" t="n">
        <f aca="false">L14-L13</f>
        <v>2131.11544</v>
      </c>
      <c r="N14" s="31" t="n">
        <f aca="false">G14-I14-K14+M14</f>
        <v>-68891.0758592154</v>
      </c>
      <c r="O14" s="31" t="n">
        <f aca="false">P13</f>
        <v>2225852.55648157</v>
      </c>
      <c r="P14" s="50" t="n">
        <f aca="false">O14+N14</f>
        <v>2156961.48062235</v>
      </c>
      <c r="Q14" s="31" t="n">
        <f aca="false">MIN(Q13,P14)</f>
        <v>2156961.48062235</v>
      </c>
      <c r="R14" s="31" t="n">
        <f aca="false">R13+G14</f>
        <v>-187609.628497646</v>
      </c>
      <c r="S14" s="29" t="n">
        <f aca="false">IF(S13&gt;0,S13,IF(R14&gt;=0,A14,0))</f>
        <v>0</v>
      </c>
    </row>
    <row r="15" customFormat="false" ht="15" hidden="false" customHeight="true" outlineLevel="0" collapsed="false">
      <c r="A15" s="29" t="n">
        <v>4</v>
      </c>
      <c r="B15" s="29" t="n">
        <f aca="false">INT((A15-1)/12)+1</f>
        <v>1</v>
      </c>
      <c r="C15" s="29" t="n">
        <f aca="false">MOD(A15-1,12)+1</f>
        <v>4</v>
      </c>
      <c r="D15" s="41" t="n">
        <f aca="false" t="array" ref="D15:D15">IF(B15=1,INDEX(CALC_MONTHLY!$B$66:$M$66,C15),INDEX(CALC_PL!$B$19:$F$19,B15)/12)</f>
        <v>15847.58</v>
      </c>
      <c r="E15" s="41" t="n">
        <f aca="false" t="array" ref="E15:E15">IF(B15=1,INDEX(CALC_MONTHLY!$B$7:$M$7,C15)*CALC_PL!$B$11+INDEX(CALC_MONTHLY!$B$8:$M$8,C15)*CALC_PL!$B$12,INDEX(CALC_PL!$B$24:$F$24,B15)/12)</f>
        <v>10709.44865</v>
      </c>
      <c r="F15" s="41" t="n">
        <f aca="false" t="array" ref="F15:F15">INDEX(CALC_PL!$B$40:$F$40,B15)/12</f>
        <v>63256.8745392154</v>
      </c>
      <c r="G15" s="31" t="n">
        <f aca="false">D15-E15-F15</f>
        <v>-58118.7431892154</v>
      </c>
      <c r="H15" s="31" t="n">
        <f aca="false">D15*$B$5/30</f>
        <v>18488.8433333333</v>
      </c>
      <c r="I15" s="31" t="n">
        <f aca="false">H15-H14</f>
        <v>4539.03333333334</v>
      </c>
      <c r="J15" s="31" t="n">
        <f aca="false">E15*$B$6/30</f>
        <v>21418.8973</v>
      </c>
      <c r="K15" s="31" t="n">
        <f aca="false">J15-J14</f>
        <v>3460.73554</v>
      </c>
      <c r="L15" s="31" t="n">
        <f aca="false">E15*$B$7/30</f>
        <v>10709.44865</v>
      </c>
      <c r="M15" s="31" t="n">
        <f aca="false">L15-L14</f>
        <v>1730.36777</v>
      </c>
      <c r="N15" s="31" t="n">
        <f aca="false">G15-I15-K15+M15</f>
        <v>-64388.1442925488</v>
      </c>
      <c r="O15" s="31" t="n">
        <f aca="false">P14</f>
        <v>2156961.48062235</v>
      </c>
      <c r="P15" s="50" t="n">
        <f aca="false">O15+N15</f>
        <v>2092573.3363298</v>
      </c>
      <c r="Q15" s="31" t="n">
        <f aca="false">MIN(Q14,P15)</f>
        <v>2092573.3363298</v>
      </c>
      <c r="R15" s="31" t="n">
        <f aca="false">R14+G15</f>
        <v>-245728.371686862</v>
      </c>
      <c r="S15" s="29" t="n">
        <f aca="false">IF(S14&gt;0,S14,IF(R15&gt;=0,A15,0))</f>
        <v>0</v>
      </c>
    </row>
    <row r="16" customFormat="false" ht="15" hidden="false" customHeight="true" outlineLevel="0" collapsed="false">
      <c r="A16" s="29" t="n">
        <v>5</v>
      </c>
      <c r="B16" s="29" t="n">
        <f aca="false">INT((A16-1)/12)+1</f>
        <v>1</v>
      </c>
      <c r="C16" s="29" t="n">
        <f aca="false">MOD(A16-1,12)+1</f>
        <v>5</v>
      </c>
      <c r="D16" s="41" t="n">
        <f aca="false" t="array" ref="D16:D16">IF(B16=1,INDEX(CALC_MONTHLY!$B$66:$M$66,C16),INDEX(CALC_PL!$B$19:$F$19,B16)/12)</f>
        <v>22323.91</v>
      </c>
      <c r="E16" s="41" t="n">
        <f aca="false" t="array" ref="E16:E16">IF(B16=1,INDEX(CALC_MONTHLY!$B$7:$M$7,C16)*CALC_PL!$B$11+INDEX(CALC_MONTHLY!$B$8:$M$8,C16)*CALC_PL!$B$12,INDEX(CALC_PL!$B$24:$F$24,B16)/12)</f>
        <v>11639.80301</v>
      </c>
      <c r="F16" s="41" t="n">
        <f aca="false" t="array" ref="F16:F16">INDEX(CALC_PL!$B$40:$F$40,B16)/12</f>
        <v>63256.8745392154</v>
      </c>
      <c r="G16" s="31" t="n">
        <f aca="false">D16-E16-F16</f>
        <v>-52572.7675492154</v>
      </c>
      <c r="H16" s="31" t="n">
        <f aca="false">D16*$B$5/30</f>
        <v>26044.5616666667</v>
      </c>
      <c r="I16" s="31" t="n">
        <f aca="false">H16-H15</f>
        <v>7555.71833333333</v>
      </c>
      <c r="J16" s="31" t="n">
        <f aca="false">E16*$B$6/30</f>
        <v>23279.60602</v>
      </c>
      <c r="K16" s="31" t="n">
        <f aca="false">J16-J15</f>
        <v>1860.70872</v>
      </c>
      <c r="L16" s="31" t="n">
        <f aca="false">E16*$B$7/30</f>
        <v>11639.80301</v>
      </c>
      <c r="M16" s="31" t="n">
        <f aca="false">L16-L15</f>
        <v>930.354360000001</v>
      </c>
      <c r="N16" s="31" t="n">
        <f aca="false">G16-I16-K16+M16</f>
        <v>-61058.8402425487</v>
      </c>
      <c r="O16" s="31" t="n">
        <f aca="false">P15</f>
        <v>2092573.3363298</v>
      </c>
      <c r="P16" s="50" t="n">
        <f aca="false">O16+N16</f>
        <v>2031514.49608726</v>
      </c>
      <c r="Q16" s="31" t="n">
        <f aca="false">MIN(Q15,P16)</f>
        <v>2031514.49608726</v>
      </c>
      <c r="R16" s="31" t="n">
        <f aca="false">R15+G16</f>
        <v>-298301.139236077</v>
      </c>
      <c r="S16" s="29" t="n">
        <f aca="false">IF(S15&gt;0,S15,IF(R16&gt;=0,A16,0))</f>
        <v>0</v>
      </c>
    </row>
    <row r="17" customFormat="false" ht="15" hidden="false" customHeight="true" outlineLevel="0" collapsed="false">
      <c r="A17" s="29" t="n">
        <v>6</v>
      </c>
      <c r="B17" s="29" t="n">
        <f aca="false">INT((A17-1)/12)+1</f>
        <v>1</v>
      </c>
      <c r="C17" s="29" t="n">
        <f aca="false">MOD(A17-1,12)+1</f>
        <v>6</v>
      </c>
      <c r="D17" s="41" t="n">
        <f aca="false" t="array" ref="D17:D17">IF(B17=1,INDEX(CALC_MONTHLY!$B$66:$M$66,C17),INDEX(CALC_PL!$B$19:$F$19,B17)/12)</f>
        <v>26154.828</v>
      </c>
      <c r="E17" s="41" t="n">
        <f aca="false" t="array" ref="E17:E17">IF(B17=1,INDEX(CALC_MONTHLY!$B$7:$M$7,C17)*CALC_PL!$B$11+INDEX(CALC_MONTHLY!$B$8:$M$8,C17)*CALC_PL!$B$12,INDEX(CALC_PL!$B$24:$F$24,B17)/12)</f>
        <v>13561.14414</v>
      </c>
      <c r="F17" s="41" t="n">
        <f aca="false" t="array" ref="F17:F17">INDEX(CALC_PL!$B$40:$F$40,B17)/12</f>
        <v>63256.8745392154</v>
      </c>
      <c r="G17" s="31" t="n">
        <f aca="false">D17-E17-F17</f>
        <v>-50663.1906792154</v>
      </c>
      <c r="H17" s="31" t="n">
        <f aca="false">D17*$B$5/30</f>
        <v>30513.966</v>
      </c>
      <c r="I17" s="31" t="n">
        <f aca="false">H17-H16</f>
        <v>4469.40433333333</v>
      </c>
      <c r="J17" s="31" t="n">
        <f aca="false">E17*$B$6/30</f>
        <v>27122.28828</v>
      </c>
      <c r="K17" s="31" t="n">
        <f aca="false">J17-J16</f>
        <v>3842.68226</v>
      </c>
      <c r="L17" s="31" t="n">
        <f aca="false">E17*$B$7/30</f>
        <v>13561.14414</v>
      </c>
      <c r="M17" s="31" t="n">
        <f aca="false">L17-L16</f>
        <v>1921.34113</v>
      </c>
      <c r="N17" s="31" t="n">
        <f aca="false">G17-I17-K17+M17</f>
        <v>-57053.9361425487</v>
      </c>
      <c r="O17" s="31" t="n">
        <f aca="false">P16</f>
        <v>2031514.49608726</v>
      </c>
      <c r="P17" s="50" t="n">
        <f aca="false">O17+N17</f>
        <v>1974460.55994471</v>
      </c>
      <c r="Q17" s="31" t="n">
        <f aca="false">MIN(Q16,P17)</f>
        <v>1974460.55994471</v>
      </c>
      <c r="R17" s="31" t="n">
        <f aca="false">R16+G17</f>
        <v>-348964.329915293</v>
      </c>
      <c r="S17" s="29" t="n">
        <f aca="false">IF(S16&gt;0,S16,IF(R17&gt;=0,A17,0))</f>
        <v>0</v>
      </c>
    </row>
    <row r="18" customFormat="false" ht="15" hidden="false" customHeight="true" outlineLevel="0" collapsed="false">
      <c r="A18" s="29" t="n">
        <v>7</v>
      </c>
      <c r="B18" s="29" t="n">
        <f aca="false">INT((A18-1)/12)+1</f>
        <v>1</v>
      </c>
      <c r="C18" s="29" t="n">
        <f aca="false">MOD(A18-1,12)+1</f>
        <v>7</v>
      </c>
      <c r="D18" s="41" t="n">
        <f aca="false" t="array" ref="D18:D18">IF(B18=1,INDEX(CALC_MONTHLY!$B$66:$M$66,C18),INDEX(CALC_PL!$B$19:$F$19,B18)/12)</f>
        <v>29781.22</v>
      </c>
      <c r="E18" s="41" t="n">
        <f aca="false" t="array" ref="E18:E18">IF(B18=1,INDEX(CALC_MONTHLY!$B$7:$M$7,C18)*CALC_PL!$B$11+INDEX(CALC_MONTHLY!$B$8:$M$8,C18)*CALC_PL!$B$12,INDEX(CALC_PL!$B$24:$F$24,B18)/12)</f>
        <v>15448.8967</v>
      </c>
      <c r="F18" s="41" t="n">
        <f aca="false" t="array" ref="F18:F18">INDEX(CALC_PL!$B$40:$F$40,B18)/12</f>
        <v>63256.8745392154</v>
      </c>
      <c r="G18" s="31" t="n">
        <f aca="false">D18-E18-F18</f>
        <v>-48924.5512392154</v>
      </c>
      <c r="H18" s="31" t="n">
        <f aca="false">D18*$B$5/30</f>
        <v>34744.7566666667</v>
      </c>
      <c r="I18" s="31" t="n">
        <f aca="false">H18-H17</f>
        <v>4230.79066666667</v>
      </c>
      <c r="J18" s="31" t="n">
        <f aca="false">E18*$B$6/30</f>
        <v>30897.7934</v>
      </c>
      <c r="K18" s="31" t="n">
        <f aca="false">J18-J17</f>
        <v>3775.50512</v>
      </c>
      <c r="L18" s="31" t="n">
        <f aca="false">E18*$B$7/30</f>
        <v>15448.8967</v>
      </c>
      <c r="M18" s="31" t="n">
        <f aca="false">L18-L17</f>
        <v>1887.75256</v>
      </c>
      <c r="N18" s="31" t="n">
        <f aca="false">G18-I18-K18+M18</f>
        <v>-55043.0944658821</v>
      </c>
      <c r="O18" s="31" t="n">
        <f aca="false">P17</f>
        <v>1974460.55994471</v>
      </c>
      <c r="P18" s="50" t="n">
        <f aca="false">O18+N18</f>
        <v>1919417.46547883</v>
      </c>
      <c r="Q18" s="31" t="n">
        <f aca="false">MIN(Q17,P18)</f>
        <v>1919417.46547883</v>
      </c>
      <c r="R18" s="31" t="n">
        <f aca="false">R17+G18</f>
        <v>-397888.881154508</v>
      </c>
      <c r="S18" s="29" t="n">
        <f aca="false">IF(S17&gt;0,S17,IF(R18&gt;=0,A18,0))</f>
        <v>0</v>
      </c>
    </row>
    <row r="19" customFormat="false" ht="15" hidden="false" customHeight="true" outlineLevel="0" collapsed="false">
      <c r="A19" s="29" t="n">
        <v>8</v>
      </c>
      <c r="B19" s="29" t="n">
        <f aca="false">INT((A19-1)/12)+1</f>
        <v>1</v>
      </c>
      <c r="C19" s="29" t="n">
        <f aca="false">MOD(A19-1,12)+1</f>
        <v>8</v>
      </c>
      <c r="D19" s="41" t="n">
        <f aca="false" t="array" ref="D19:D19">IF(B19=1,INDEX(CALC_MONTHLY!$B$66:$M$66,C19),INDEX(CALC_PL!$B$19:$F$19,B19)/12)</f>
        <v>31604.216</v>
      </c>
      <c r="E19" s="41" t="n">
        <f aca="false" t="array" ref="E19:E19">IF(B19=1,INDEX(CALC_MONTHLY!$B$7:$M$7,C19)*CALC_PL!$B$11+INDEX(CALC_MONTHLY!$B$8:$M$8,C19)*CALC_PL!$B$12,INDEX(CALC_PL!$B$24:$F$24,B19)/12)</f>
        <v>16473.47204</v>
      </c>
      <c r="F19" s="41" t="n">
        <f aca="false" t="array" ref="F19:F19">INDEX(CALC_PL!$B$40:$F$40,B19)/12</f>
        <v>63256.8745392154</v>
      </c>
      <c r="G19" s="31" t="n">
        <f aca="false">D19-E19-F19</f>
        <v>-48126.1305792154</v>
      </c>
      <c r="H19" s="31" t="n">
        <f aca="false">D19*$B$5/30</f>
        <v>36871.5853333333</v>
      </c>
      <c r="I19" s="31" t="n">
        <f aca="false">H19-H18</f>
        <v>2126.82866666667</v>
      </c>
      <c r="J19" s="31" t="n">
        <f aca="false">E19*$B$6/30</f>
        <v>32946.94408</v>
      </c>
      <c r="K19" s="31" t="n">
        <f aca="false">J19-J18</f>
        <v>2049.15068</v>
      </c>
      <c r="L19" s="31" t="n">
        <f aca="false">E19*$B$7/30</f>
        <v>16473.47204</v>
      </c>
      <c r="M19" s="31" t="n">
        <f aca="false">L19-L18</f>
        <v>1024.57534</v>
      </c>
      <c r="N19" s="31" t="n">
        <f aca="false">G19-I19-K19+M19</f>
        <v>-51277.5345858821</v>
      </c>
      <c r="O19" s="31" t="n">
        <f aca="false">P18</f>
        <v>1919417.46547883</v>
      </c>
      <c r="P19" s="50" t="n">
        <f aca="false">O19+N19</f>
        <v>1868139.93089294</v>
      </c>
      <c r="Q19" s="31" t="n">
        <f aca="false">MIN(Q18,P19)</f>
        <v>1868139.93089294</v>
      </c>
      <c r="R19" s="31" t="n">
        <f aca="false">R18+G19</f>
        <v>-446015.011733723</v>
      </c>
      <c r="S19" s="29" t="n">
        <f aca="false">IF(S18&gt;0,S18,IF(R19&gt;=0,A19,0))</f>
        <v>0</v>
      </c>
    </row>
    <row r="20" customFormat="false" ht="15" hidden="false" customHeight="true" outlineLevel="0" collapsed="false">
      <c r="A20" s="29" t="n">
        <v>9</v>
      </c>
      <c r="B20" s="29" t="n">
        <f aca="false">INT((A20-1)/12)+1</f>
        <v>1</v>
      </c>
      <c r="C20" s="29" t="n">
        <f aca="false">MOD(A20-1,12)+1</f>
        <v>9</v>
      </c>
      <c r="D20" s="41" t="n">
        <f aca="false" t="array" ref="D20:D20">IF(B20=1,INDEX(CALC_MONTHLY!$B$66:$M$66,C20),INDEX(CALC_PL!$B$19:$F$19,B20)/12)</f>
        <v>31174.241</v>
      </c>
      <c r="E20" s="41" t="n">
        <f aca="false" t="array" ref="E20:E20">IF(B20=1,INDEX(CALC_MONTHLY!$B$7:$M$7,C20)*CALC_PL!$B$11+INDEX(CALC_MONTHLY!$B$8:$M$8,C20)*CALC_PL!$B$12,INDEX(CALC_PL!$B$24:$F$24,B20)/12)</f>
        <v>16419.075855</v>
      </c>
      <c r="F20" s="41" t="n">
        <f aca="false" t="array" ref="F20:F20">INDEX(CALC_PL!$B$40:$F$40,B20)/12</f>
        <v>63256.8745392154</v>
      </c>
      <c r="G20" s="31" t="n">
        <f aca="false">D20-E20-F20</f>
        <v>-48501.7093942154</v>
      </c>
      <c r="H20" s="31" t="n">
        <f aca="false">D20*$B$5/30</f>
        <v>36369.9478333333</v>
      </c>
      <c r="I20" s="31" t="n">
        <f aca="false">H20-H19</f>
        <v>-501.637500000004</v>
      </c>
      <c r="J20" s="31" t="n">
        <f aca="false">E20*$B$6/30</f>
        <v>32838.15171</v>
      </c>
      <c r="K20" s="31" t="n">
        <f aca="false">J20-J19</f>
        <v>-108.792370000003</v>
      </c>
      <c r="L20" s="31" t="n">
        <f aca="false">E20*$B$7/30</f>
        <v>16419.075855</v>
      </c>
      <c r="M20" s="31" t="n">
        <f aca="false">L20-L19</f>
        <v>-54.3961850000014</v>
      </c>
      <c r="N20" s="31" t="n">
        <f aca="false">G20-I20-K20+M20</f>
        <v>-47945.6757092154</v>
      </c>
      <c r="O20" s="31" t="n">
        <f aca="false">P19</f>
        <v>1868139.93089294</v>
      </c>
      <c r="P20" s="50" t="n">
        <f aca="false">O20+N20</f>
        <v>1820194.25518373</v>
      </c>
      <c r="Q20" s="31" t="n">
        <f aca="false">MIN(Q19,P20)</f>
        <v>1820194.25518373</v>
      </c>
      <c r="R20" s="31" t="n">
        <f aca="false">R19+G20</f>
        <v>-494516.721127939</v>
      </c>
      <c r="S20" s="29" t="n">
        <f aca="false">IF(S19&gt;0,S19,IF(R20&gt;=0,A20,0))</f>
        <v>0</v>
      </c>
    </row>
    <row r="21" customFormat="false" ht="15.75" hidden="false" customHeight="true" outlineLevel="0" collapsed="false">
      <c r="A21" s="29" t="n">
        <v>10</v>
      </c>
      <c r="B21" s="29" t="n">
        <f aca="false">INT((A21-1)/12)+1</f>
        <v>1</v>
      </c>
      <c r="C21" s="29" t="n">
        <f aca="false">MOD(A21-1,12)+1</f>
        <v>10</v>
      </c>
      <c r="D21" s="41" t="n">
        <f aca="false" t="array" ref="D21:D21">IF(B21=1,INDEX(CALC_MONTHLY!$B$66:$M$66,C21),INDEX(CALC_PL!$B$19:$F$19,B21)/12)</f>
        <v>31410.715</v>
      </c>
      <c r="E21" s="41" t="n">
        <f aca="false" t="array" ref="E21:E21">IF(B21=1,INDEX(CALC_MONTHLY!$B$7:$M$7,C21)*CALC_PL!$B$11+INDEX(CALC_MONTHLY!$B$8:$M$8,C21)*CALC_PL!$B$12,INDEX(CALC_PL!$B$24:$F$24,B21)/12)</f>
        <v>16868.94068</v>
      </c>
      <c r="F21" s="41" t="n">
        <f aca="false" t="array" ref="F21:F21">INDEX(CALC_PL!$B$40:$F$40,B21)/12</f>
        <v>63256.8745392154</v>
      </c>
      <c r="G21" s="31" t="n">
        <f aca="false">D21-E21-F21</f>
        <v>-48715.1002192154</v>
      </c>
      <c r="H21" s="31" t="n">
        <f aca="false">D21*$B$5/30</f>
        <v>36645.8341666667</v>
      </c>
      <c r="I21" s="31" t="n">
        <f aca="false">H21-H20</f>
        <v>275.886333333328</v>
      </c>
      <c r="J21" s="31" t="n">
        <f aca="false">E21*$B$6/30</f>
        <v>33737.88136</v>
      </c>
      <c r="K21" s="31" t="n">
        <f aca="false">J21-J20</f>
        <v>899.729650000001</v>
      </c>
      <c r="L21" s="31" t="n">
        <f aca="false">E21*$B$7/30</f>
        <v>16868.94068</v>
      </c>
      <c r="M21" s="31" t="n">
        <f aca="false">L21-L20</f>
        <v>449.864825000001</v>
      </c>
      <c r="N21" s="31" t="n">
        <f aca="false">G21-I21-K21+M21</f>
        <v>-49440.8513775488</v>
      </c>
      <c r="O21" s="31" t="n">
        <f aca="false">P20</f>
        <v>1820194.25518373</v>
      </c>
      <c r="P21" s="50" t="n">
        <f aca="false">O21+N21</f>
        <v>1770753.40380618</v>
      </c>
      <c r="Q21" s="31" t="n">
        <f aca="false">MIN(Q20,P21)</f>
        <v>1770753.40380618</v>
      </c>
      <c r="R21" s="31" t="n">
        <f aca="false">R20+G21</f>
        <v>-543231.821347154</v>
      </c>
      <c r="S21" s="29" t="n">
        <f aca="false">IF(S20&gt;0,S20,IF(R21&gt;=0,A21,0))</f>
        <v>0</v>
      </c>
    </row>
    <row r="22" customFormat="false" ht="15.75" hidden="false" customHeight="true" outlineLevel="0" collapsed="false">
      <c r="A22" s="29" t="n">
        <v>11</v>
      </c>
      <c r="B22" s="29" t="n">
        <f aca="false">INT((A22-1)/12)+1</f>
        <v>1</v>
      </c>
      <c r="C22" s="29" t="n">
        <f aca="false">MOD(A22-1,12)+1</f>
        <v>11</v>
      </c>
      <c r="D22" s="41" t="n">
        <f aca="false" t="array" ref="D22:D22">IF(B22=1,INDEX(CALC_MONTHLY!$B$66:$M$66,C22),INDEX(CALC_PL!$B$19:$F$19,B22)/12)</f>
        <v>33863.116</v>
      </c>
      <c r="E22" s="41" t="n">
        <f aca="false" t="array" ref="E22:E22">IF(B22=1,INDEX(CALC_MONTHLY!$B$7:$M$7,C22)*CALC_PL!$B$11+INDEX(CALC_MONTHLY!$B$8:$M$8,C22)*CALC_PL!$B$12,INDEX(CALC_PL!$B$24:$F$24,B22)/12)</f>
        <v>18423.33894</v>
      </c>
      <c r="F22" s="41" t="n">
        <f aca="false" t="array" ref="F22:F22">INDEX(CALC_PL!$B$40:$F$40,B22)/12</f>
        <v>63256.8745392154</v>
      </c>
      <c r="G22" s="31" t="n">
        <f aca="false">D22-E22-F22</f>
        <v>-47817.0974792154</v>
      </c>
      <c r="H22" s="31" t="n">
        <f aca="false">D22*$B$5/30</f>
        <v>39506.9686666667</v>
      </c>
      <c r="I22" s="31" t="n">
        <f aca="false">H22-H21</f>
        <v>2861.1345</v>
      </c>
      <c r="J22" s="31" t="n">
        <f aca="false">E22*$B$6/30</f>
        <v>36846.67788</v>
      </c>
      <c r="K22" s="31" t="n">
        <f aca="false">J22-J21</f>
        <v>3108.79652</v>
      </c>
      <c r="L22" s="31" t="n">
        <f aca="false">E22*$B$7/30</f>
        <v>18423.33894</v>
      </c>
      <c r="M22" s="31" t="n">
        <f aca="false">L22-L21</f>
        <v>1554.39826</v>
      </c>
      <c r="N22" s="31" t="n">
        <f aca="false">G22-I22-K22+M22</f>
        <v>-52232.6302392154</v>
      </c>
      <c r="O22" s="31" t="n">
        <f aca="false">P21</f>
        <v>1770753.40380618</v>
      </c>
      <c r="P22" s="50" t="n">
        <f aca="false">O22+N22</f>
        <v>1718520.77356696</v>
      </c>
      <c r="Q22" s="31" t="n">
        <f aca="false">MIN(Q21,P22)</f>
        <v>1718520.77356696</v>
      </c>
      <c r="R22" s="31" t="n">
        <f aca="false">R21+G22</f>
        <v>-591048.91882637</v>
      </c>
      <c r="S22" s="29" t="n">
        <f aca="false">IF(S21&gt;0,S21,IF(R22&gt;=0,A22,0))</f>
        <v>0</v>
      </c>
    </row>
    <row r="23" customFormat="false" ht="15.75" hidden="false" customHeight="true" outlineLevel="0" collapsed="false">
      <c r="A23" s="53" t="n">
        <v>12</v>
      </c>
      <c r="B23" s="53" t="n">
        <f aca="false">INT((A23-1)/12)+1</f>
        <v>1</v>
      </c>
      <c r="C23" s="53" t="n">
        <f aca="false">MOD(A23-1,12)+1</f>
        <v>12</v>
      </c>
      <c r="D23" s="54" t="n">
        <f aca="false" t="array" ref="D23:D23">IF(B23=1,INDEX(CALC_MONTHLY!$B$66:$M$66,C23),INDEX(CALC_PL!$B$19:$F$19,B23)/12)</f>
        <v>35897.4</v>
      </c>
      <c r="E23" s="54" t="n">
        <f aca="false" t="array" ref="E23:E23">IF(B23=1,INDEX(CALC_MONTHLY!$B$7:$M$7,C23)*CALC_PL!$B$11+INDEX(CALC_MONTHLY!$B$8:$M$8,C23)*CALC_PL!$B$12,INDEX(CALC_PL!$B$24:$F$24,B23)/12)</f>
        <v>19521.85238</v>
      </c>
      <c r="F23" s="54" t="n">
        <f aca="false" t="array" ref="F23:F23">INDEX(CALC_PL!$B$40:$F$40,B23)/12</f>
        <v>63256.8745392154</v>
      </c>
      <c r="G23" s="55" t="n">
        <f aca="false">D23-E23-F23</f>
        <v>-46881.3269192154</v>
      </c>
      <c r="H23" s="55" t="n">
        <f aca="false">D23*$B$5/30</f>
        <v>41880.3</v>
      </c>
      <c r="I23" s="55" t="n">
        <f aca="false">H23-H22</f>
        <v>2373.33133333334</v>
      </c>
      <c r="J23" s="55" t="n">
        <f aca="false">E23*$B$6/30</f>
        <v>39043.70476</v>
      </c>
      <c r="K23" s="55" t="n">
        <f aca="false">J23-J22</f>
        <v>2197.02687999999</v>
      </c>
      <c r="L23" s="55" t="n">
        <f aca="false">E23*$B$7/30</f>
        <v>19521.85238</v>
      </c>
      <c r="M23" s="55" t="n">
        <f aca="false">L23-L22</f>
        <v>1098.51344</v>
      </c>
      <c r="N23" s="55" t="n">
        <f aca="false">G23-I23-K23+M23</f>
        <v>-50353.1716925488</v>
      </c>
      <c r="O23" s="55" t="n">
        <f aca="false">P22</f>
        <v>1718520.77356696</v>
      </c>
      <c r="P23" s="51" t="n">
        <f aca="false">O23+N23</f>
        <v>1668167.60187441</v>
      </c>
      <c r="Q23" s="55" t="n">
        <f aca="false">MIN(Q22,P23)</f>
        <v>1668167.60187441</v>
      </c>
      <c r="R23" s="55" t="n">
        <f aca="false">R22+G23</f>
        <v>-637930.245745585</v>
      </c>
      <c r="S23" s="53" t="n">
        <f aca="false">IF(S22&gt;0,S22,IF(R23&gt;=0,A23,0))</f>
        <v>0</v>
      </c>
    </row>
    <row r="24" customFormat="false" ht="15.75" hidden="false" customHeight="true" outlineLevel="0" collapsed="false">
      <c r="A24" s="29" t="n">
        <v>13</v>
      </c>
      <c r="B24" s="29" t="n">
        <f aca="false">INT((A24-1)/12)+1</f>
        <v>2</v>
      </c>
      <c r="C24" s="29" t="n">
        <f aca="false">MOD(A24-1,12)+1</f>
        <v>1</v>
      </c>
      <c r="D24" s="41" t="n">
        <f aca="false" t="array" ref="D24:D24">IF(B24=1,INDEX(CALC_MONTHLY!$B$66:$M$66,C24),INDEX(CALC_PL!$B$19:$F$19,B24)/12)</f>
        <v>103994.816116667</v>
      </c>
      <c r="E24" s="41" t="n">
        <f aca="false" t="array" ref="E24:E24">IF(B24=1,INDEX(CALC_MONTHLY!$B$7:$M$7,C24)*CALC_PL!$B$11+INDEX(CALC_MONTHLY!$B$8:$M$8,C24)*CALC_PL!$B$12,INDEX(CALC_PL!$B$24:$F$24,B24)/12)</f>
        <v>43655.08633865</v>
      </c>
      <c r="F24" s="41" t="n">
        <f aca="false" t="array" ref="F24:F24">INDEX(CALC_PL!$B$40:$F$40,B24)/12</f>
        <v>126475.57242982</v>
      </c>
      <c r="G24" s="31" t="n">
        <f aca="false">D24-E24-F24</f>
        <v>-66135.842651803</v>
      </c>
      <c r="H24" s="31" t="n">
        <f aca="false">D24*$B$5/30</f>
        <v>121327.285469444</v>
      </c>
      <c r="I24" s="31" t="n">
        <f aca="false">H24-H23</f>
        <v>79446.9854694444</v>
      </c>
      <c r="J24" s="31" t="n">
        <f aca="false">E24*$B$6/30</f>
        <v>87310.1726773</v>
      </c>
      <c r="K24" s="31" t="n">
        <f aca="false">J24-J23</f>
        <v>48266.4679173</v>
      </c>
      <c r="L24" s="31" t="n">
        <f aca="false">E24*$B$7/30</f>
        <v>43655.08633865</v>
      </c>
      <c r="M24" s="31" t="n">
        <f aca="false">L24-L23</f>
        <v>24133.23395865</v>
      </c>
      <c r="N24" s="31" t="n">
        <f aca="false">G24-I24-K24+M24</f>
        <v>-169716.062079897</v>
      </c>
      <c r="O24" s="31" t="n">
        <f aca="false">P23</f>
        <v>1668167.60187441</v>
      </c>
      <c r="P24" s="50" t="n">
        <f aca="false">O24+N24</f>
        <v>1498451.53979452</v>
      </c>
      <c r="Q24" s="31" t="n">
        <f aca="false">MIN(Q23,P24)</f>
        <v>1498451.53979452</v>
      </c>
      <c r="R24" s="31" t="n">
        <f aca="false">R23+G24</f>
        <v>-704066.088397388</v>
      </c>
      <c r="S24" s="29" t="n">
        <f aca="false">IF(S23&gt;0,S23,IF(R24&gt;=0,A24,0))</f>
        <v>0</v>
      </c>
    </row>
    <row r="25" customFormat="false" ht="15.75" hidden="false" customHeight="true" outlineLevel="0" collapsed="false">
      <c r="A25" s="29" t="n">
        <v>14</v>
      </c>
      <c r="B25" s="29" t="n">
        <f aca="false">INT((A25-1)/12)+1</f>
        <v>2</v>
      </c>
      <c r="C25" s="29" t="n">
        <f aca="false">MOD(A25-1,12)+1</f>
        <v>2</v>
      </c>
      <c r="D25" s="41" t="n">
        <f aca="false" t="array" ref="D25:D25">IF(B25=1,INDEX(CALC_MONTHLY!$B$66:$M$66,C25),INDEX(CALC_PL!$B$19:$F$19,B25)/12)</f>
        <v>103994.816116667</v>
      </c>
      <c r="E25" s="41" t="n">
        <f aca="false" t="array" ref="E25:E25">IF(B25=1,INDEX(CALC_MONTHLY!$B$7:$M$7,C25)*CALC_PL!$B$11+INDEX(CALC_MONTHLY!$B$8:$M$8,C25)*CALC_PL!$B$12,INDEX(CALC_PL!$B$24:$F$24,B25)/12)</f>
        <v>43655.08633865</v>
      </c>
      <c r="F25" s="41" t="n">
        <f aca="false" t="array" ref="F25:F25">INDEX(CALC_PL!$B$40:$F$40,B25)/12</f>
        <v>126475.57242982</v>
      </c>
      <c r="G25" s="31" t="n">
        <f aca="false">D25-E25-F25</f>
        <v>-66135.842651803</v>
      </c>
      <c r="H25" s="31" t="n">
        <f aca="false">D25*$B$5/30</f>
        <v>121327.285469444</v>
      </c>
      <c r="I25" s="31" t="n">
        <f aca="false">H25-H24</f>
        <v>0</v>
      </c>
      <c r="J25" s="31" t="n">
        <f aca="false">E25*$B$6/30</f>
        <v>87310.1726773</v>
      </c>
      <c r="K25" s="31" t="n">
        <f aca="false">J25-J24</f>
        <v>0</v>
      </c>
      <c r="L25" s="31" t="n">
        <f aca="false">E25*$B$7/30</f>
        <v>43655.08633865</v>
      </c>
      <c r="M25" s="31" t="n">
        <f aca="false">L25-L24</f>
        <v>0</v>
      </c>
      <c r="N25" s="31" t="n">
        <f aca="false">G25-I25-K25+M25</f>
        <v>-66135.842651803</v>
      </c>
      <c r="O25" s="31" t="n">
        <f aca="false">P24</f>
        <v>1498451.53979452</v>
      </c>
      <c r="P25" s="50" t="n">
        <f aca="false">O25+N25</f>
        <v>1432315.69714271</v>
      </c>
      <c r="Q25" s="31" t="n">
        <f aca="false">MIN(Q24,P25)</f>
        <v>1432315.69714271</v>
      </c>
      <c r="R25" s="31" t="n">
        <f aca="false">R24+G25</f>
        <v>-770201.931049191</v>
      </c>
      <c r="S25" s="29" t="n">
        <f aca="false">IF(S24&gt;0,S24,IF(R25&gt;=0,A25,0))</f>
        <v>0</v>
      </c>
    </row>
    <row r="26" customFormat="false" ht="15.75" hidden="false" customHeight="true" outlineLevel="0" collapsed="false">
      <c r="A26" s="29" t="n">
        <v>15</v>
      </c>
      <c r="B26" s="29" t="n">
        <f aca="false">INT((A26-1)/12)+1</f>
        <v>2</v>
      </c>
      <c r="C26" s="29" t="n">
        <f aca="false">MOD(A26-1,12)+1</f>
        <v>3</v>
      </c>
      <c r="D26" s="41" t="n">
        <f aca="false" t="array" ref="D26:D26">IF(B26=1,INDEX(CALC_MONTHLY!$B$66:$M$66,C26),INDEX(CALC_PL!$B$19:$F$19,B26)/12)</f>
        <v>103994.816116667</v>
      </c>
      <c r="E26" s="41" t="n">
        <f aca="false" t="array" ref="E26:E26">IF(B26=1,INDEX(CALC_MONTHLY!$B$7:$M$7,C26)*CALC_PL!$B$11+INDEX(CALC_MONTHLY!$B$8:$M$8,C26)*CALC_PL!$B$12,INDEX(CALC_PL!$B$24:$F$24,B26)/12)</f>
        <v>43655.08633865</v>
      </c>
      <c r="F26" s="41" t="n">
        <f aca="false" t="array" ref="F26:F26">INDEX(CALC_PL!$B$40:$F$40,B26)/12</f>
        <v>126475.57242982</v>
      </c>
      <c r="G26" s="31" t="n">
        <f aca="false">D26-E26-F26</f>
        <v>-66135.842651803</v>
      </c>
      <c r="H26" s="31" t="n">
        <f aca="false">D26*$B$5/30</f>
        <v>121327.285469444</v>
      </c>
      <c r="I26" s="31" t="n">
        <f aca="false">H26-H25</f>
        <v>0</v>
      </c>
      <c r="J26" s="31" t="n">
        <f aca="false">E26*$B$6/30</f>
        <v>87310.1726773</v>
      </c>
      <c r="K26" s="31" t="n">
        <f aca="false">J26-J25</f>
        <v>0</v>
      </c>
      <c r="L26" s="31" t="n">
        <f aca="false">E26*$B$7/30</f>
        <v>43655.08633865</v>
      </c>
      <c r="M26" s="31" t="n">
        <f aca="false">L26-L25</f>
        <v>0</v>
      </c>
      <c r="N26" s="31" t="n">
        <f aca="false">G26-I26-K26+M26</f>
        <v>-66135.842651803</v>
      </c>
      <c r="O26" s="31" t="n">
        <f aca="false">P25</f>
        <v>1432315.69714271</v>
      </c>
      <c r="P26" s="50" t="n">
        <f aca="false">O26+N26</f>
        <v>1366179.85449091</v>
      </c>
      <c r="Q26" s="31" t="n">
        <f aca="false">MIN(Q25,P26)</f>
        <v>1366179.85449091</v>
      </c>
      <c r="R26" s="31" t="n">
        <f aca="false">R25+G26</f>
        <v>-836337.773700994</v>
      </c>
      <c r="S26" s="29" t="n">
        <f aca="false">IF(S25&gt;0,S25,IF(R26&gt;=0,A26,0))</f>
        <v>0</v>
      </c>
    </row>
    <row r="27" customFormat="false" ht="15.75" hidden="false" customHeight="true" outlineLevel="0" collapsed="false">
      <c r="A27" s="29" t="n">
        <v>16</v>
      </c>
      <c r="B27" s="29" t="n">
        <f aca="false">INT((A27-1)/12)+1</f>
        <v>2</v>
      </c>
      <c r="C27" s="29" t="n">
        <f aca="false">MOD(A27-1,12)+1</f>
        <v>4</v>
      </c>
      <c r="D27" s="41" t="n">
        <f aca="false" t="array" ref="D27:D27">IF(B27=1,INDEX(CALC_MONTHLY!$B$66:$M$66,C27),INDEX(CALC_PL!$B$19:$F$19,B27)/12)</f>
        <v>103994.816116667</v>
      </c>
      <c r="E27" s="41" t="n">
        <f aca="false" t="array" ref="E27:E27">IF(B27=1,INDEX(CALC_MONTHLY!$B$7:$M$7,C27)*CALC_PL!$B$11+INDEX(CALC_MONTHLY!$B$8:$M$8,C27)*CALC_PL!$B$12,INDEX(CALC_PL!$B$24:$F$24,B27)/12)</f>
        <v>43655.08633865</v>
      </c>
      <c r="F27" s="41" t="n">
        <f aca="false" t="array" ref="F27:F27">INDEX(CALC_PL!$B$40:$F$40,B27)/12</f>
        <v>126475.57242982</v>
      </c>
      <c r="G27" s="31" t="n">
        <f aca="false">D27-E27-F27</f>
        <v>-66135.842651803</v>
      </c>
      <c r="H27" s="31" t="n">
        <f aca="false">D27*$B$5/30</f>
        <v>121327.285469444</v>
      </c>
      <c r="I27" s="31" t="n">
        <f aca="false">H27-H26</f>
        <v>0</v>
      </c>
      <c r="J27" s="31" t="n">
        <f aca="false">E27*$B$6/30</f>
        <v>87310.1726773</v>
      </c>
      <c r="K27" s="31" t="n">
        <f aca="false">J27-J26</f>
        <v>0</v>
      </c>
      <c r="L27" s="31" t="n">
        <f aca="false">E27*$B$7/30</f>
        <v>43655.08633865</v>
      </c>
      <c r="M27" s="31" t="n">
        <f aca="false">L27-L26</f>
        <v>0</v>
      </c>
      <c r="N27" s="31" t="n">
        <f aca="false">G27-I27-K27+M27</f>
        <v>-66135.842651803</v>
      </c>
      <c r="O27" s="31" t="n">
        <f aca="false">P26</f>
        <v>1366179.85449091</v>
      </c>
      <c r="P27" s="50" t="n">
        <f aca="false">O27+N27</f>
        <v>1300044.01183911</v>
      </c>
      <c r="Q27" s="31" t="n">
        <f aca="false">MIN(Q26,P27)</f>
        <v>1300044.01183911</v>
      </c>
      <c r="R27" s="31" t="n">
        <f aca="false">R26+G27</f>
        <v>-902473.616352797</v>
      </c>
      <c r="S27" s="29" t="n">
        <f aca="false">IF(S26&gt;0,S26,IF(R27&gt;=0,A27,0))</f>
        <v>0</v>
      </c>
    </row>
    <row r="28" customFormat="false" ht="15.75" hidden="false" customHeight="true" outlineLevel="0" collapsed="false">
      <c r="A28" s="29" t="n">
        <v>17</v>
      </c>
      <c r="B28" s="29" t="n">
        <f aca="false">INT((A28-1)/12)+1</f>
        <v>2</v>
      </c>
      <c r="C28" s="29" t="n">
        <f aca="false">MOD(A28-1,12)+1</f>
        <v>5</v>
      </c>
      <c r="D28" s="41" t="n">
        <f aca="false" t="array" ref="D28:D28">IF(B28=1,INDEX(CALC_MONTHLY!$B$66:$M$66,C28),INDEX(CALC_PL!$B$19:$F$19,B28)/12)</f>
        <v>103994.816116667</v>
      </c>
      <c r="E28" s="41" t="n">
        <f aca="false" t="array" ref="E28:E28">IF(B28=1,INDEX(CALC_MONTHLY!$B$7:$M$7,C28)*CALC_PL!$B$11+INDEX(CALC_MONTHLY!$B$8:$M$8,C28)*CALC_PL!$B$12,INDEX(CALC_PL!$B$24:$F$24,B28)/12)</f>
        <v>43655.08633865</v>
      </c>
      <c r="F28" s="41" t="n">
        <f aca="false" t="array" ref="F28:F28">INDEX(CALC_PL!$B$40:$F$40,B28)/12</f>
        <v>126475.57242982</v>
      </c>
      <c r="G28" s="31" t="n">
        <f aca="false">D28-E28-F28</f>
        <v>-66135.842651803</v>
      </c>
      <c r="H28" s="31" t="n">
        <f aca="false">D28*$B$5/30</f>
        <v>121327.285469444</v>
      </c>
      <c r="I28" s="31" t="n">
        <f aca="false">H28-H27</f>
        <v>0</v>
      </c>
      <c r="J28" s="31" t="n">
        <f aca="false">E28*$B$6/30</f>
        <v>87310.1726773</v>
      </c>
      <c r="K28" s="31" t="n">
        <f aca="false">J28-J27</f>
        <v>0</v>
      </c>
      <c r="L28" s="31" t="n">
        <f aca="false">E28*$B$7/30</f>
        <v>43655.08633865</v>
      </c>
      <c r="M28" s="31" t="n">
        <f aca="false">L28-L27</f>
        <v>0</v>
      </c>
      <c r="N28" s="31" t="n">
        <f aca="false">G28-I28-K28+M28</f>
        <v>-66135.842651803</v>
      </c>
      <c r="O28" s="31" t="n">
        <f aca="false">P27</f>
        <v>1300044.01183911</v>
      </c>
      <c r="P28" s="50" t="n">
        <f aca="false">O28+N28</f>
        <v>1233908.16918731</v>
      </c>
      <c r="Q28" s="31" t="n">
        <f aca="false">MIN(Q27,P28)</f>
        <v>1233908.16918731</v>
      </c>
      <c r="R28" s="31" t="n">
        <f aca="false">R27+G28</f>
        <v>-968609.4590046</v>
      </c>
      <c r="S28" s="29" t="n">
        <f aca="false">IF(S27&gt;0,S27,IF(R28&gt;=0,A28,0))</f>
        <v>0</v>
      </c>
    </row>
    <row r="29" customFormat="false" ht="15.75" hidden="false" customHeight="true" outlineLevel="0" collapsed="false">
      <c r="A29" s="29" t="n">
        <v>18</v>
      </c>
      <c r="B29" s="29" t="n">
        <f aca="false">INT((A29-1)/12)+1</f>
        <v>2</v>
      </c>
      <c r="C29" s="29" t="n">
        <f aca="false">MOD(A29-1,12)+1</f>
        <v>6</v>
      </c>
      <c r="D29" s="41" t="n">
        <f aca="false" t="array" ref="D29:D29">IF(B29=1,INDEX(CALC_MONTHLY!$B$66:$M$66,C29),INDEX(CALC_PL!$B$19:$F$19,B29)/12)</f>
        <v>103994.816116667</v>
      </c>
      <c r="E29" s="41" t="n">
        <f aca="false" t="array" ref="E29:E29">IF(B29=1,INDEX(CALC_MONTHLY!$B$7:$M$7,C29)*CALC_PL!$B$11+INDEX(CALC_MONTHLY!$B$8:$M$8,C29)*CALC_PL!$B$12,INDEX(CALC_PL!$B$24:$F$24,B29)/12)</f>
        <v>43655.08633865</v>
      </c>
      <c r="F29" s="41" t="n">
        <f aca="false" t="array" ref="F29:F29">INDEX(CALC_PL!$B$40:$F$40,B29)/12</f>
        <v>126475.57242982</v>
      </c>
      <c r="G29" s="31" t="n">
        <f aca="false">D29-E29-F29</f>
        <v>-66135.842651803</v>
      </c>
      <c r="H29" s="31" t="n">
        <f aca="false">D29*$B$5/30</f>
        <v>121327.285469444</v>
      </c>
      <c r="I29" s="31" t="n">
        <f aca="false">H29-H28</f>
        <v>0</v>
      </c>
      <c r="J29" s="31" t="n">
        <f aca="false">E29*$B$6/30</f>
        <v>87310.1726773</v>
      </c>
      <c r="K29" s="31" t="n">
        <f aca="false">J29-J28</f>
        <v>0</v>
      </c>
      <c r="L29" s="31" t="n">
        <f aca="false">E29*$B$7/30</f>
        <v>43655.08633865</v>
      </c>
      <c r="M29" s="31" t="n">
        <f aca="false">L29-L28</f>
        <v>0</v>
      </c>
      <c r="N29" s="31" t="n">
        <f aca="false">G29-I29-K29+M29</f>
        <v>-66135.842651803</v>
      </c>
      <c r="O29" s="31" t="n">
        <f aca="false">P28</f>
        <v>1233908.16918731</v>
      </c>
      <c r="P29" s="50" t="n">
        <f aca="false">O29+N29</f>
        <v>1167772.3265355</v>
      </c>
      <c r="Q29" s="31" t="n">
        <f aca="false">MIN(Q28,P29)</f>
        <v>1167772.3265355</v>
      </c>
      <c r="R29" s="31" t="n">
        <f aca="false">R28+G29</f>
        <v>-1034745.3016564</v>
      </c>
      <c r="S29" s="29" t="n">
        <f aca="false">IF(S28&gt;0,S28,IF(R29&gt;=0,A29,0))</f>
        <v>0</v>
      </c>
    </row>
    <row r="30" customFormat="false" ht="15.75" hidden="false" customHeight="true" outlineLevel="0" collapsed="false">
      <c r="A30" s="29" t="n">
        <v>19</v>
      </c>
      <c r="B30" s="29" t="n">
        <f aca="false">INT((A30-1)/12)+1</f>
        <v>2</v>
      </c>
      <c r="C30" s="29" t="n">
        <f aca="false">MOD(A30-1,12)+1</f>
        <v>7</v>
      </c>
      <c r="D30" s="41" t="n">
        <f aca="false" t="array" ref="D30:D30">IF(B30=1,INDEX(CALC_MONTHLY!$B$66:$M$66,C30),INDEX(CALC_PL!$B$19:$F$19,B30)/12)</f>
        <v>103994.816116667</v>
      </c>
      <c r="E30" s="41" t="n">
        <f aca="false" t="array" ref="E30:E30">IF(B30=1,INDEX(CALC_MONTHLY!$B$7:$M$7,C30)*CALC_PL!$B$11+INDEX(CALC_MONTHLY!$B$8:$M$8,C30)*CALC_PL!$B$12,INDEX(CALC_PL!$B$24:$F$24,B30)/12)</f>
        <v>43655.08633865</v>
      </c>
      <c r="F30" s="41" t="n">
        <f aca="false" t="array" ref="F30:F30">INDEX(CALC_PL!$B$40:$F$40,B30)/12</f>
        <v>126475.57242982</v>
      </c>
      <c r="G30" s="31" t="n">
        <f aca="false">D30-E30-F30</f>
        <v>-66135.842651803</v>
      </c>
      <c r="H30" s="31" t="n">
        <f aca="false">D30*$B$5/30</f>
        <v>121327.285469444</v>
      </c>
      <c r="I30" s="31" t="n">
        <f aca="false">H30-H29</f>
        <v>0</v>
      </c>
      <c r="J30" s="31" t="n">
        <f aca="false">E30*$B$6/30</f>
        <v>87310.1726773</v>
      </c>
      <c r="K30" s="31" t="n">
        <f aca="false">J30-J29</f>
        <v>0</v>
      </c>
      <c r="L30" s="31" t="n">
        <f aca="false">E30*$B$7/30</f>
        <v>43655.08633865</v>
      </c>
      <c r="M30" s="31" t="n">
        <f aca="false">L30-L29</f>
        <v>0</v>
      </c>
      <c r="N30" s="31" t="n">
        <f aca="false">G30-I30-K30+M30</f>
        <v>-66135.842651803</v>
      </c>
      <c r="O30" s="31" t="n">
        <f aca="false">P29</f>
        <v>1167772.3265355</v>
      </c>
      <c r="P30" s="50" t="n">
        <f aca="false">O30+N30</f>
        <v>1101636.4838837</v>
      </c>
      <c r="Q30" s="31" t="n">
        <f aca="false">MIN(Q29,P30)</f>
        <v>1101636.4838837</v>
      </c>
      <c r="R30" s="31" t="n">
        <f aca="false">R29+G30</f>
        <v>-1100881.14430821</v>
      </c>
      <c r="S30" s="29" t="n">
        <f aca="false">IF(S29&gt;0,S29,IF(R30&gt;=0,A30,0))</f>
        <v>0</v>
      </c>
    </row>
    <row r="31" customFormat="false" ht="15.75" hidden="false" customHeight="true" outlineLevel="0" collapsed="false">
      <c r="A31" s="29" t="n">
        <v>20</v>
      </c>
      <c r="B31" s="29" t="n">
        <f aca="false">INT((A31-1)/12)+1</f>
        <v>2</v>
      </c>
      <c r="C31" s="29" t="n">
        <f aca="false">MOD(A31-1,12)+1</f>
        <v>8</v>
      </c>
      <c r="D31" s="41" t="n">
        <f aca="false" t="array" ref="D31:D31">IF(B31=1,INDEX(CALC_MONTHLY!$B$66:$M$66,C31),INDEX(CALC_PL!$B$19:$F$19,B31)/12)</f>
        <v>103994.816116667</v>
      </c>
      <c r="E31" s="41" t="n">
        <f aca="false" t="array" ref="E31:E31">IF(B31=1,INDEX(CALC_MONTHLY!$B$7:$M$7,C31)*CALC_PL!$B$11+INDEX(CALC_MONTHLY!$B$8:$M$8,C31)*CALC_PL!$B$12,INDEX(CALC_PL!$B$24:$F$24,B31)/12)</f>
        <v>43655.08633865</v>
      </c>
      <c r="F31" s="41" t="n">
        <f aca="false" t="array" ref="F31:F31">INDEX(CALC_PL!$B$40:$F$40,B31)/12</f>
        <v>126475.57242982</v>
      </c>
      <c r="G31" s="31" t="n">
        <f aca="false">D31-E31-F31</f>
        <v>-66135.842651803</v>
      </c>
      <c r="H31" s="31" t="n">
        <f aca="false">D31*$B$5/30</f>
        <v>121327.285469444</v>
      </c>
      <c r="I31" s="31" t="n">
        <f aca="false">H31-H30</f>
        <v>0</v>
      </c>
      <c r="J31" s="31" t="n">
        <f aca="false">E31*$B$6/30</f>
        <v>87310.1726773</v>
      </c>
      <c r="K31" s="31" t="n">
        <f aca="false">J31-J30</f>
        <v>0</v>
      </c>
      <c r="L31" s="31" t="n">
        <f aca="false">E31*$B$7/30</f>
        <v>43655.08633865</v>
      </c>
      <c r="M31" s="31" t="n">
        <f aca="false">L31-L30</f>
        <v>0</v>
      </c>
      <c r="N31" s="31" t="n">
        <f aca="false">G31-I31-K31+M31</f>
        <v>-66135.842651803</v>
      </c>
      <c r="O31" s="31" t="n">
        <f aca="false">P30</f>
        <v>1101636.4838837</v>
      </c>
      <c r="P31" s="50" t="n">
        <f aca="false">O31+N31</f>
        <v>1035500.6412319</v>
      </c>
      <c r="Q31" s="31" t="n">
        <f aca="false">MIN(Q30,P31)</f>
        <v>1035500.6412319</v>
      </c>
      <c r="R31" s="31" t="n">
        <f aca="false">R30+G31</f>
        <v>-1167016.98696001</v>
      </c>
      <c r="S31" s="29" t="n">
        <f aca="false">IF(S30&gt;0,S30,IF(R31&gt;=0,A31,0))</f>
        <v>0</v>
      </c>
    </row>
    <row r="32" customFormat="false" ht="15.75" hidden="false" customHeight="true" outlineLevel="0" collapsed="false">
      <c r="A32" s="29" t="n">
        <v>21</v>
      </c>
      <c r="B32" s="29" t="n">
        <f aca="false">INT((A32-1)/12)+1</f>
        <v>2</v>
      </c>
      <c r="C32" s="29" t="n">
        <f aca="false">MOD(A32-1,12)+1</f>
        <v>9</v>
      </c>
      <c r="D32" s="41" t="n">
        <f aca="false" t="array" ref="D32:D32">IF(B32=1,INDEX(CALC_MONTHLY!$B$66:$M$66,C32),INDEX(CALC_PL!$B$19:$F$19,B32)/12)</f>
        <v>103994.816116667</v>
      </c>
      <c r="E32" s="41" t="n">
        <f aca="false" t="array" ref="E32:E32">IF(B32=1,INDEX(CALC_MONTHLY!$B$7:$M$7,C32)*CALC_PL!$B$11+INDEX(CALC_MONTHLY!$B$8:$M$8,C32)*CALC_PL!$B$12,INDEX(CALC_PL!$B$24:$F$24,B32)/12)</f>
        <v>43655.08633865</v>
      </c>
      <c r="F32" s="41" t="n">
        <f aca="false" t="array" ref="F32:F32">INDEX(CALC_PL!$B$40:$F$40,B32)/12</f>
        <v>126475.57242982</v>
      </c>
      <c r="G32" s="31" t="n">
        <f aca="false">D32-E32-F32</f>
        <v>-66135.842651803</v>
      </c>
      <c r="H32" s="31" t="n">
        <f aca="false">D32*$B$5/30</f>
        <v>121327.285469444</v>
      </c>
      <c r="I32" s="31" t="n">
        <f aca="false">H32-H31</f>
        <v>0</v>
      </c>
      <c r="J32" s="31" t="n">
        <f aca="false">E32*$B$6/30</f>
        <v>87310.1726773</v>
      </c>
      <c r="K32" s="31" t="n">
        <f aca="false">J32-J31</f>
        <v>0</v>
      </c>
      <c r="L32" s="31" t="n">
        <f aca="false">E32*$B$7/30</f>
        <v>43655.08633865</v>
      </c>
      <c r="M32" s="31" t="n">
        <f aca="false">L32-L31</f>
        <v>0</v>
      </c>
      <c r="N32" s="31" t="n">
        <f aca="false">G32-I32-K32+M32</f>
        <v>-66135.842651803</v>
      </c>
      <c r="O32" s="31" t="n">
        <f aca="false">P31</f>
        <v>1035500.6412319</v>
      </c>
      <c r="P32" s="50" t="n">
        <f aca="false">O32+N32</f>
        <v>969364.798580093</v>
      </c>
      <c r="Q32" s="31" t="n">
        <f aca="false">MIN(Q31,P32)</f>
        <v>969364.798580093</v>
      </c>
      <c r="R32" s="31" t="n">
        <f aca="false">R31+G32</f>
        <v>-1233152.82961181</v>
      </c>
      <c r="S32" s="29" t="n">
        <f aca="false">IF(S31&gt;0,S31,IF(R32&gt;=0,A32,0))</f>
        <v>0</v>
      </c>
    </row>
    <row r="33" customFormat="false" ht="15.75" hidden="false" customHeight="true" outlineLevel="0" collapsed="false">
      <c r="A33" s="29" t="n">
        <v>22</v>
      </c>
      <c r="B33" s="29" t="n">
        <f aca="false">INT((A33-1)/12)+1</f>
        <v>2</v>
      </c>
      <c r="C33" s="29" t="n">
        <f aca="false">MOD(A33-1,12)+1</f>
        <v>10</v>
      </c>
      <c r="D33" s="41" t="n">
        <f aca="false" t="array" ref="D33:D33">IF(B33=1,INDEX(CALC_MONTHLY!$B$66:$M$66,C33),INDEX(CALC_PL!$B$19:$F$19,B33)/12)</f>
        <v>103994.816116667</v>
      </c>
      <c r="E33" s="41" t="n">
        <f aca="false" t="array" ref="E33:E33">IF(B33=1,INDEX(CALC_MONTHLY!$B$7:$M$7,C33)*CALC_PL!$B$11+INDEX(CALC_MONTHLY!$B$8:$M$8,C33)*CALC_PL!$B$12,INDEX(CALC_PL!$B$24:$F$24,B33)/12)</f>
        <v>43655.08633865</v>
      </c>
      <c r="F33" s="41" t="n">
        <f aca="false" t="array" ref="F33:F33">INDEX(CALC_PL!$B$40:$F$40,B33)/12</f>
        <v>126475.57242982</v>
      </c>
      <c r="G33" s="31" t="n">
        <f aca="false">D33-E33-F33</f>
        <v>-66135.842651803</v>
      </c>
      <c r="H33" s="31" t="n">
        <f aca="false">D33*$B$5/30</f>
        <v>121327.285469444</v>
      </c>
      <c r="I33" s="31" t="n">
        <f aca="false">H33-H32</f>
        <v>0</v>
      </c>
      <c r="J33" s="31" t="n">
        <f aca="false">E33*$B$6/30</f>
        <v>87310.1726773</v>
      </c>
      <c r="K33" s="31" t="n">
        <f aca="false">J33-J32</f>
        <v>0</v>
      </c>
      <c r="L33" s="31" t="n">
        <f aca="false">E33*$B$7/30</f>
        <v>43655.08633865</v>
      </c>
      <c r="M33" s="31" t="n">
        <f aca="false">L33-L32</f>
        <v>0</v>
      </c>
      <c r="N33" s="31" t="n">
        <f aca="false">G33-I33-K33+M33</f>
        <v>-66135.842651803</v>
      </c>
      <c r="O33" s="31" t="n">
        <f aca="false">P32</f>
        <v>969364.798580093</v>
      </c>
      <c r="P33" s="50" t="n">
        <f aca="false">O33+N33</f>
        <v>903228.95592829</v>
      </c>
      <c r="Q33" s="31" t="n">
        <f aca="false">MIN(Q32,P33)</f>
        <v>903228.95592829</v>
      </c>
      <c r="R33" s="31" t="n">
        <f aca="false">R32+G33</f>
        <v>-1299288.67226361</v>
      </c>
      <c r="S33" s="29" t="n">
        <f aca="false">IF(S32&gt;0,S32,IF(R33&gt;=0,A33,0))</f>
        <v>0</v>
      </c>
    </row>
    <row r="34" customFormat="false" ht="15.75" hidden="false" customHeight="true" outlineLevel="0" collapsed="false">
      <c r="A34" s="29" t="n">
        <v>23</v>
      </c>
      <c r="B34" s="29" t="n">
        <f aca="false">INT((A34-1)/12)+1</f>
        <v>2</v>
      </c>
      <c r="C34" s="29" t="n">
        <f aca="false">MOD(A34-1,12)+1</f>
        <v>11</v>
      </c>
      <c r="D34" s="41" t="n">
        <f aca="false" t="array" ref="D34:D34">IF(B34=1,INDEX(CALC_MONTHLY!$B$66:$M$66,C34),INDEX(CALC_PL!$B$19:$F$19,B34)/12)</f>
        <v>103994.816116667</v>
      </c>
      <c r="E34" s="41" t="n">
        <f aca="false" t="array" ref="E34:E34">IF(B34=1,INDEX(CALC_MONTHLY!$B$7:$M$7,C34)*CALC_PL!$B$11+INDEX(CALC_MONTHLY!$B$8:$M$8,C34)*CALC_PL!$B$12,INDEX(CALC_PL!$B$24:$F$24,B34)/12)</f>
        <v>43655.08633865</v>
      </c>
      <c r="F34" s="41" t="n">
        <f aca="false" t="array" ref="F34:F34">INDEX(CALC_PL!$B$40:$F$40,B34)/12</f>
        <v>126475.57242982</v>
      </c>
      <c r="G34" s="31" t="n">
        <f aca="false">D34-E34-F34</f>
        <v>-66135.842651803</v>
      </c>
      <c r="H34" s="31" t="n">
        <f aca="false">D34*$B$5/30</f>
        <v>121327.285469444</v>
      </c>
      <c r="I34" s="31" t="n">
        <f aca="false">H34-H33</f>
        <v>0</v>
      </c>
      <c r="J34" s="31" t="n">
        <f aca="false">E34*$B$6/30</f>
        <v>87310.1726773</v>
      </c>
      <c r="K34" s="31" t="n">
        <f aca="false">J34-J33</f>
        <v>0</v>
      </c>
      <c r="L34" s="31" t="n">
        <f aca="false">E34*$B$7/30</f>
        <v>43655.08633865</v>
      </c>
      <c r="M34" s="31" t="n">
        <f aca="false">L34-L33</f>
        <v>0</v>
      </c>
      <c r="N34" s="31" t="n">
        <f aca="false">G34-I34-K34+M34</f>
        <v>-66135.842651803</v>
      </c>
      <c r="O34" s="31" t="n">
        <f aca="false">P33</f>
        <v>903228.95592829</v>
      </c>
      <c r="P34" s="50" t="n">
        <f aca="false">O34+N34</f>
        <v>837093.113276487</v>
      </c>
      <c r="Q34" s="31" t="n">
        <f aca="false">MIN(Q33,P34)</f>
        <v>837093.113276487</v>
      </c>
      <c r="R34" s="31" t="n">
        <f aca="false">R33+G34</f>
        <v>-1365424.51491542</v>
      </c>
      <c r="S34" s="29" t="n">
        <f aca="false">IF(S33&gt;0,S33,IF(R34&gt;=0,A34,0))</f>
        <v>0</v>
      </c>
    </row>
    <row r="35" customFormat="false" ht="15.75" hidden="false" customHeight="true" outlineLevel="0" collapsed="false">
      <c r="A35" s="53" t="n">
        <v>24</v>
      </c>
      <c r="B35" s="53" t="n">
        <f aca="false">INT((A35-1)/12)+1</f>
        <v>2</v>
      </c>
      <c r="C35" s="53" t="n">
        <f aca="false">MOD(A35-1,12)+1</f>
        <v>12</v>
      </c>
      <c r="D35" s="54" t="n">
        <f aca="false" t="array" ref="D35:D35">IF(B35=1,INDEX(CALC_MONTHLY!$B$66:$M$66,C35),INDEX(CALC_PL!$B$19:$F$19,B35)/12)</f>
        <v>103994.816116667</v>
      </c>
      <c r="E35" s="54" t="n">
        <f aca="false" t="array" ref="E35:E35">IF(B35=1,INDEX(CALC_MONTHLY!$B$7:$M$7,C35)*CALC_PL!$B$11+INDEX(CALC_MONTHLY!$B$8:$M$8,C35)*CALC_PL!$B$12,INDEX(CALC_PL!$B$24:$F$24,B35)/12)</f>
        <v>43655.08633865</v>
      </c>
      <c r="F35" s="54" t="n">
        <f aca="false" t="array" ref="F35:F35">INDEX(CALC_PL!$B$40:$F$40,B35)/12</f>
        <v>126475.57242982</v>
      </c>
      <c r="G35" s="55" t="n">
        <f aca="false">D35-E35-F35</f>
        <v>-66135.842651803</v>
      </c>
      <c r="H35" s="55" t="n">
        <f aca="false">D35*$B$5/30</f>
        <v>121327.285469444</v>
      </c>
      <c r="I35" s="55" t="n">
        <f aca="false">H35-H34</f>
        <v>0</v>
      </c>
      <c r="J35" s="55" t="n">
        <f aca="false">E35*$B$6/30</f>
        <v>87310.1726773</v>
      </c>
      <c r="K35" s="55" t="n">
        <f aca="false">J35-J34</f>
        <v>0</v>
      </c>
      <c r="L35" s="55" t="n">
        <f aca="false">E35*$B$7/30</f>
        <v>43655.08633865</v>
      </c>
      <c r="M35" s="55" t="n">
        <f aca="false">L35-L34</f>
        <v>0</v>
      </c>
      <c r="N35" s="55" t="n">
        <f aca="false">G35-I35-K35+M35</f>
        <v>-66135.842651803</v>
      </c>
      <c r="O35" s="55" t="n">
        <f aca="false">P34</f>
        <v>837093.113276487</v>
      </c>
      <c r="P35" s="51" t="n">
        <f aca="false">O35+N35</f>
        <v>770957.270624685</v>
      </c>
      <c r="Q35" s="55" t="n">
        <f aca="false">MIN(Q34,P35)</f>
        <v>770957.270624685</v>
      </c>
      <c r="R35" s="55" t="n">
        <f aca="false">R34+G35</f>
        <v>-1431560.35756722</v>
      </c>
      <c r="S35" s="53" t="n">
        <f aca="false">IF(S34&gt;0,S34,IF(R35&gt;=0,A35,0))</f>
        <v>0</v>
      </c>
    </row>
    <row r="36" customFormat="false" ht="15.75" hidden="false" customHeight="true" outlineLevel="0" collapsed="false">
      <c r="A36" s="29" t="n">
        <v>25</v>
      </c>
      <c r="B36" s="29" t="n">
        <f aca="false">INT((A36-1)/12)+1</f>
        <v>3</v>
      </c>
      <c r="C36" s="29" t="n">
        <f aca="false">MOD(A36-1,12)+1</f>
        <v>1</v>
      </c>
      <c r="D36" s="41" t="n">
        <f aca="false" t="array" ref="D36:D36">IF(B36=1,INDEX(CALC_MONTHLY!$B$66:$M$66,C36),INDEX(CALC_PL!$B$19:$F$19,B36)/12)</f>
        <v>374655.93875</v>
      </c>
      <c r="E36" s="41" t="n">
        <f aca="false" t="array" ref="E36:E36">IF(B36=1,INDEX(CALC_MONTHLY!$B$7:$M$7,C36)*CALC_PL!$B$11+INDEX(CALC_MONTHLY!$B$8:$M$8,C36)*CALC_PL!$B$12,INDEX(CALC_PL!$B$24:$F$24,B36)/12)</f>
        <v>120934.844013889</v>
      </c>
      <c r="F36" s="41" t="n">
        <f aca="false" t="array" ref="F36:F36">INDEX(CALC_PL!$B$40:$F$40,B36)/12</f>
        <v>205187.349989292</v>
      </c>
      <c r="G36" s="31" t="n">
        <f aca="false">D36-E36-F36</f>
        <v>48533.7447468194</v>
      </c>
      <c r="H36" s="31" t="n">
        <f aca="false">D36*$B$5/30</f>
        <v>437098.595208333</v>
      </c>
      <c r="I36" s="31" t="n">
        <f aca="false">H36-H35</f>
        <v>315771.309738889</v>
      </c>
      <c r="J36" s="31" t="n">
        <f aca="false">E36*$B$6/30</f>
        <v>241869.688027778</v>
      </c>
      <c r="K36" s="31" t="n">
        <f aca="false">J36-J35</f>
        <v>154559.515350478</v>
      </c>
      <c r="L36" s="31" t="n">
        <f aca="false">E36*$B$7/30</f>
        <v>120934.844013889</v>
      </c>
      <c r="M36" s="31" t="n">
        <f aca="false">L36-L35</f>
        <v>77279.7576752389</v>
      </c>
      <c r="N36" s="31" t="n">
        <f aca="false">G36-I36-K36+M36</f>
        <v>-344517.322667308</v>
      </c>
      <c r="O36" s="31" t="n">
        <f aca="false">P35</f>
        <v>770957.270624685</v>
      </c>
      <c r="P36" s="50" t="n">
        <f aca="false">O36+N36</f>
        <v>426439.947957376</v>
      </c>
      <c r="Q36" s="31" t="n">
        <f aca="false">MIN(Q35,P36)</f>
        <v>426439.947957376</v>
      </c>
      <c r="R36" s="31" t="n">
        <f aca="false">R35+G36</f>
        <v>-1383026.6128204</v>
      </c>
      <c r="S36" s="29" t="n">
        <f aca="false">IF(S35&gt;0,S35,IF(R36&gt;=0,A36,0))</f>
        <v>0</v>
      </c>
    </row>
    <row r="37" customFormat="false" ht="15.75" hidden="false" customHeight="true" outlineLevel="0" collapsed="false">
      <c r="A37" s="29" t="n">
        <v>26</v>
      </c>
      <c r="B37" s="29" t="n">
        <f aca="false">INT((A37-1)/12)+1</f>
        <v>3</v>
      </c>
      <c r="C37" s="29" t="n">
        <f aca="false">MOD(A37-1,12)+1</f>
        <v>2</v>
      </c>
      <c r="D37" s="41" t="n">
        <f aca="false" t="array" ref="D37:D37">IF(B37=1,INDEX(CALC_MONTHLY!$B$66:$M$66,C37),INDEX(CALC_PL!$B$19:$F$19,B37)/12)</f>
        <v>374655.93875</v>
      </c>
      <c r="E37" s="41" t="n">
        <f aca="false" t="array" ref="E37:E37">IF(B37=1,INDEX(CALC_MONTHLY!$B$7:$M$7,C37)*CALC_PL!$B$11+INDEX(CALC_MONTHLY!$B$8:$M$8,C37)*CALC_PL!$B$12,INDEX(CALC_PL!$B$24:$F$24,B37)/12)</f>
        <v>120934.844013889</v>
      </c>
      <c r="F37" s="41" t="n">
        <f aca="false" t="array" ref="F37:F37">INDEX(CALC_PL!$B$40:$F$40,B37)/12</f>
        <v>205187.349989292</v>
      </c>
      <c r="G37" s="31" t="n">
        <f aca="false">D37-E37-F37</f>
        <v>48533.7447468194</v>
      </c>
      <c r="H37" s="31" t="n">
        <f aca="false">D37*$B$5/30</f>
        <v>437098.595208333</v>
      </c>
      <c r="I37" s="31" t="n">
        <f aca="false">H37-H36</f>
        <v>0</v>
      </c>
      <c r="J37" s="31" t="n">
        <f aca="false">E37*$B$6/30</f>
        <v>241869.688027778</v>
      </c>
      <c r="K37" s="31" t="n">
        <f aca="false">J37-J36</f>
        <v>0</v>
      </c>
      <c r="L37" s="31" t="n">
        <f aca="false">E37*$B$7/30</f>
        <v>120934.844013889</v>
      </c>
      <c r="M37" s="31" t="n">
        <f aca="false">L37-L36</f>
        <v>0</v>
      </c>
      <c r="N37" s="31" t="n">
        <f aca="false">G37-I37-K37+M37</f>
        <v>48533.7447468194</v>
      </c>
      <c r="O37" s="31" t="n">
        <f aca="false">P36</f>
        <v>426439.947957376</v>
      </c>
      <c r="P37" s="50" t="n">
        <f aca="false">O37+N37</f>
        <v>474973.692704196</v>
      </c>
      <c r="Q37" s="31" t="n">
        <f aca="false">MIN(Q36,P37)</f>
        <v>426439.947957376</v>
      </c>
      <c r="R37" s="31" t="n">
        <f aca="false">R36+G37</f>
        <v>-1334492.86807358</v>
      </c>
      <c r="S37" s="29" t="n">
        <f aca="false">IF(S36&gt;0,S36,IF(R37&gt;=0,A37,0))</f>
        <v>0</v>
      </c>
    </row>
    <row r="38" customFormat="false" ht="15.75" hidden="false" customHeight="true" outlineLevel="0" collapsed="false">
      <c r="A38" s="29" t="n">
        <v>27</v>
      </c>
      <c r="B38" s="29" t="n">
        <f aca="false">INT((A38-1)/12)+1</f>
        <v>3</v>
      </c>
      <c r="C38" s="29" t="n">
        <f aca="false">MOD(A38-1,12)+1</f>
        <v>3</v>
      </c>
      <c r="D38" s="41" t="n">
        <f aca="false" t="array" ref="D38:D38">IF(B38=1,INDEX(CALC_MONTHLY!$B$66:$M$66,C38),INDEX(CALC_PL!$B$19:$F$19,B38)/12)</f>
        <v>374655.93875</v>
      </c>
      <c r="E38" s="41" t="n">
        <f aca="false" t="array" ref="E38:E38">IF(B38=1,INDEX(CALC_MONTHLY!$B$7:$M$7,C38)*CALC_PL!$B$11+INDEX(CALC_MONTHLY!$B$8:$M$8,C38)*CALC_PL!$B$12,INDEX(CALC_PL!$B$24:$F$24,B38)/12)</f>
        <v>120934.844013889</v>
      </c>
      <c r="F38" s="41" t="n">
        <f aca="false" t="array" ref="F38:F38">INDEX(CALC_PL!$B$40:$F$40,B38)/12</f>
        <v>205187.349989292</v>
      </c>
      <c r="G38" s="31" t="n">
        <f aca="false">D38-E38-F38</f>
        <v>48533.7447468194</v>
      </c>
      <c r="H38" s="31" t="n">
        <f aca="false">D38*$B$5/30</f>
        <v>437098.595208333</v>
      </c>
      <c r="I38" s="31" t="n">
        <f aca="false">H38-H37</f>
        <v>0</v>
      </c>
      <c r="J38" s="31" t="n">
        <f aca="false">E38*$B$6/30</f>
        <v>241869.688027778</v>
      </c>
      <c r="K38" s="31" t="n">
        <f aca="false">J38-J37</f>
        <v>0</v>
      </c>
      <c r="L38" s="31" t="n">
        <f aca="false">E38*$B$7/30</f>
        <v>120934.844013889</v>
      </c>
      <c r="M38" s="31" t="n">
        <f aca="false">L38-L37</f>
        <v>0</v>
      </c>
      <c r="N38" s="31" t="n">
        <f aca="false">G38-I38-K38+M38</f>
        <v>48533.7447468194</v>
      </c>
      <c r="O38" s="31" t="n">
        <f aca="false">P37</f>
        <v>474973.692704196</v>
      </c>
      <c r="P38" s="50" t="n">
        <f aca="false">O38+N38</f>
        <v>523507.437451015</v>
      </c>
      <c r="Q38" s="31" t="n">
        <f aca="false">MIN(Q37,P38)</f>
        <v>426439.947957376</v>
      </c>
      <c r="R38" s="31" t="n">
        <f aca="false">R37+G38</f>
        <v>-1285959.12332676</v>
      </c>
      <c r="S38" s="29" t="n">
        <f aca="false">IF(S37&gt;0,S37,IF(R38&gt;=0,A38,0))</f>
        <v>0</v>
      </c>
    </row>
    <row r="39" customFormat="false" ht="15.75" hidden="false" customHeight="true" outlineLevel="0" collapsed="false">
      <c r="A39" s="29" t="n">
        <v>28</v>
      </c>
      <c r="B39" s="29" t="n">
        <f aca="false">INT((A39-1)/12)+1</f>
        <v>3</v>
      </c>
      <c r="C39" s="29" t="n">
        <f aca="false">MOD(A39-1,12)+1</f>
        <v>4</v>
      </c>
      <c r="D39" s="41" t="n">
        <f aca="false" t="array" ref="D39:D39">IF(B39=1,INDEX(CALC_MONTHLY!$B$66:$M$66,C39),INDEX(CALC_PL!$B$19:$F$19,B39)/12)</f>
        <v>374655.93875</v>
      </c>
      <c r="E39" s="41" t="n">
        <f aca="false" t="array" ref="E39:E39">IF(B39=1,INDEX(CALC_MONTHLY!$B$7:$M$7,C39)*CALC_PL!$B$11+INDEX(CALC_MONTHLY!$B$8:$M$8,C39)*CALC_PL!$B$12,INDEX(CALC_PL!$B$24:$F$24,B39)/12)</f>
        <v>120934.844013889</v>
      </c>
      <c r="F39" s="41" t="n">
        <f aca="false" t="array" ref="F39:F39">INDEX(CALC_PL!$B$40:$F$40,B39)/12</f>
        <v>205187.349989292</v>
      </c>
      <c r="G39" s="31" t="n">
        <f aca="false">D39-E39-F39</f>
        <v>48533.7447468194</v>
      </c>
      <c r="H39" s="31" t="n">
        <f aca="false">D39*$B$5/30</f>
        <v>437098.595208333</v>
      </c>
      <c r="I39" s="31" t="n">
        <f aca="false">H39-H38</f>
        <v>0</v>
      </c>
      <c r="J39" s="31" t="n">
        <f aca="false">E39*$B$6/30</f>
        <v>241869.688027778</v>
      </c>
      <c r="K39" s="31" t="n">
        <f aca="false">J39-J38</f>
        <v>0</v>
      </c>
      <c r="L39" s="31" t="n">
        <f aca="false">E39*$B$7/30</f>
        <v>120934.844013889</v>
      </c>
      <c r="M39" s="31" t="n">
        <f aca="false">L39-L38</f>
        <v>0</v>
      </c>
      <c r="N39" s="31" t="n">
        <f aca="false">G39-I39-K39+M39</f>
        <v>48533.7447468194</v>
      </c>
      <c r="O39" s="31" t="n">
        <f aca="false">P38</f>
        <v>523507.437451015</v>
      </c>
      <c r="P39" s="50" t="n">
        <f aca="false">O39+N39</f>
        <v>572041.182197834</v>
      </c>
      <c r="Q39" s="31" t="n">
        <f aca="false">MIN(Q38,P39)</f>
        <v>426439.947957376</v>
      </c>
      <c r="R39" s="31" t="n">
        <f aca="false">R38+G39</f>
        <v>-1237425.37857994</v>
      </c>
      <c r="S39" s="29" t="n">
        <f aca="false">IF(S38&gt;0,S38,IF(R39&gt;=0,A39,0))</f>
        <v>0</v>
      </c>
    </row>
    <row r="40" customFormat="false" ht="15.75" hidden="false" customHeight="true" outlineLevel="0" collapsed="false">
      <c r="A40" s="29" t="n">
        <v>29</v>
      </c>
      <c r="B40" s="29" t="n">
        <f aca="false">INT((A40-1)/12)+1</f>
        <v>3</v>
      </c>
      <c r="C40" s="29" t="n">
        <f aca="false">MOD(A40-1,12)+1</f>
        <v>5</v>
      </c>
      <c r="D40" s="41" t="n">
        <f aca="false" t="array" ref="D40:D40">IF(B40=1,INDEX(CALC_MONTHLY!$B$66:$M$66,C40),INDEX(CALC_PL!$B$19:$F$19,B40)/12)</f>
        <v>374655.93875</v>
      </c>
      <c r="E40" s="41" t="n">
        <f aca="false" t="array" ref="E40:E40">IF(B40=1,INDEX(CALC_MONTHLY!$B$7:$M$7,C40)*CALC_PL!$B$11+INDEX(CALC_MONTHLY!$B$8:$M$8,C40)*CALC_PL!$B$12,INDEX(CALC_PL!$B$24:$F$24,B40)/12)</f>
        <v>120934.844013889</v>
      </c>
      <c r="F40" s="41" t="n">
        <f aca="false" t="array" ref="F40:F40">INDEX(CALC_PL!$B$40:$F$40,B40)/12</f>
        <v>205187.349989292</v>
      </c>
      <c r="G40" s="31" t="n">
        <f aca="false">D40-E40-F40</f>
        <v>48533.7447468194</v>
      </c>
      <c r="H40" s="31" t="n">
        <f aca="false">D40*$B$5/30</f>
        <v>437098.595208333</v>
      </c>
      <c r="I40" s="31" t="n">
        <f aca="false">H40-H39</f>
        <v>0</v>
      </c>
      <c r="J40" s="31" t="n">
        <f aca="false">E40*$B$6/30</f>
        <v>241869.688027778</v>
      </c>
      <c r="K40" s="31" t="n">
        <f aca="false">J40-J39</f>
        <v>0</v>
      </c>
      <c r="L40" s="31" t="n">
        <f aca="false">E40*$B$7/30</f>
        <v>120934.844013889</v>
      </c>
      <c r="M40" s="31" t="n">
        <f aca="false">L40-L39</f>
        <v>0</v>
      </c>
      <c r="N40" s="31" t="n">
        <f aca="false">G40-I40-K40+M40</f>
        <v>48533.7447468194</v>
      </c>
      <c r="O40" s="31" t="n">
        <f aca="false">P39</f>
        <v>572041.182197834</v>
      </c>
      <c r="P40" s="50" t="n">
        <f aca="false">O40+N40</f>
        <v>620574.926944654</v>
      </c>
      <c r="Q40" s="31" t="n">
        <f aca="false">MIN(Q39,P40)</f>
        <v>426439.947957376</v>
      </c>
      <c r="R40" s="31" t="n">
        <f aca="false">R39+G40</f>
        <v>-1188891.63383312</v>
      </c>
      <c r="S40" s="29" t="n">
        <f aca="false">IF(S39&gt;0,S39,IF(R40&gt;=0,A40,0))</f>
        <v>0</v>
      </c>
    </row>
    <row r="41" customFormat="false" ht="15.75" hidden="false" customHeight="true" outlineLevel="0" collapsed="false">
      <c r="A41" s="29" t="n">
        <v>30</v>
      </c>
      <c r="B41" s="29" t="n">
        <f aca="false">INT((A41-1)/12)+1</f>
        <v>3</v>
      </c>
      <c r="C41" s="29" t="n">
        <f aca="false">MOD(A41-1,12)+1</f>
        <v>6</v>
      </c>
      <c r="D41" s="41" t="n">
        <f aca="false" t="array" ref="D41:D41">IF(B41=1,INDEX(CALC_MONTHLY!$B$66:$M$66,C41),INDEX(CALC_PL!$B$19:$F$19,B41)/12)</f>
        <v>374655.93875</v>
      </c>
      <c r="E41" s="41" t="n">
        <f aca="false" t="array" ref="E41:E41">IF(B41=1,INDEX(CALC_MONTHLY!$B$7:$M$7,C41)*CALC_PL!$B$11+INDEX(CALC_MONTHLY!$B$8:$M$8,C41)*CALC_PL!$B$12,INDEX(CALC_PL!$B$24:$F$24,B41)/12)</f>
        <v>120934.844013889</v>
      </c>
      <c r="F41" s="41" t="n">
        <f aca="false" t="array" ref="F41:F41">INDEX(CALC_PL!$B$40:$F$40,B41)/12</f>
        <v>205187.349989292</v>
      </c>
      <c r="G41" s="31" t="n">
        <f aca="false">D41-E41-F41</f>
        <v>48533.7447468194</v>
      </c>
      <c r="H41" s="31" t="n">
        <f aca="false">D41*$B$5/30</f>
        <v>437098.595208333</v>
      </c>
      <c r="I41" s="31" t="n">
        <f aca="false">H41-H40</f>
        <v>0</v>
      </c>
      <c r="J41" s="31" t="n">
        <f aca="false">E41*$B$6/30</f>
        <v>241869.688027778</v>
      </c>
      <c r="K41" s="31" t="n">
        <f aca="false">J41-J40</f>
        <v>0</v>
      </c>
      <c r="L41" s="31" t="n">
        <f aca="false">E41*$B$7/30</f>
        <v>120934.844013889</v>
      </c>
      <c r="M41" s="31" t="n">
        <f aca="false">L41-L40</f>
        <v>0</v>
      </c>
      <c r="N41" s="31" t="n">
        <f aca="false">G41-I41-K41+M41</f>
        <v>48533.7447468194</v>
      </c>
      <c r="O41" s="31" t="n">
        <f aca="false">P40</f>
        <v>620574.926944654</v>
      </c>
      <c r="P41" s="50" t="n">
        <f aca="false">O41+N41</f>
        <v>669108.671691473</v>
      </c>
      <c r="Q41" s="31" t="n">
        <f aca="false">MIN(Q40,P41)</f>
        <v>426439.947957376</v>
      </c>
      <c r="R41" s="31" t="n">
        <f aca="false">R40+G41</f>
        <v>-1140357.8890863</v>
      </c>
      <c r="S41" s="29" t="n">
        <f aca="false">IF(S40&gt;0,S40,IF(R41&gt;=0,A41,0))</f>
        <v>0</v>
      </c>
    </row>
    <row r="42" customFormat="false" ht="15.75" hidden="false" customHeight="true" outlineLevel="0" collapsed="false">
      <c r="A42" s="29" t="n">
        <v>31</v>
      </c>
      <c r="B42" s="29" t="n">
        <f aca="false">INT((A42-1)/12)+1</f>
        <v>3</v>
      </c>
      <c r="C42" s="29" t="n">
        <f aca="false">MOD(A42-1,12)+1</f>
        <v>7</v>
      </c>
      <c r="D42" s="41" t="n">
        <f aca="false" t="array" ref="D42:D42">IF(B42=1,INDEX(CALC_MONTHLY!$B$66:$M$66,C42),INDEX(CALC_PL!$B$19:$F$19,B42)/12)</f>
        <v>374655.93875</v>
      </c>
      <c r="E42" s="41" t="n">
        <f aca="false" t="array" ref="E42:E42">IF(B42=1,INDEX(CALC_MONTHLY!$B$7:$M$7,C42)*CALC_PL!$B$11+INDEX(CALC_MONTHLY!$B$8:$M$8,C42)*CALC_PL!$B$12,INDEX(CALC_PL!$B$24:$F$24,B42)/12)</f>
        <v>120934.844013889</v>
      </c>
      <c r="F42" s="41" t="n">
        <f aca="false" t="array" ref="F42:F42">INDEX(CALC_PL!$B$40:$F$40,B42)/12</f>
        <v>205187.349989292</v>
      </c>
      <c r="G42" s="31" t="n">
        <f aca="false">D42-E42-F42</f>
        <v>48533.7447468194</v>
      </c>
      <c r="H42" s="31" t="n">
        <f aca="false">D42*$B$5/30</f>
        <v>437098.595208333</v>
      </c>
      <c r="I42" s="31" t="n">
        <f aca="false">H42-H41</f>
        <v>0</v>
      </c>
      <c r="J42" s="31" t="n">
        <f aca="false">E42*$B$6/30</f>
        <v>241869.688027778</v>
      </c>
      <c r="K42" s="31" t="n">
        <f aca="false">J42-J41</f>
        <v>0</v>
      </c>
      <c r="L42" s="31" t="n">
        <f aca="false">E42*$B$7/30</f>
        <v>120934.844013889</v>
      </c>
      <c r="M42" s="31" t="n">
        <f aca="false">L42-L41</f>
        <v>0</v>
      </c>
      <c r="N42" s="31" t="n">
        <f aca="false">G42-I42-K42+M42</f>
        <v>48533.7447468194</v>
      </c>
      <c r="O42" s="31" t="n">
        <f aca="false">P41</f>
        <v>669108.671691473</v>
      </c>
      <c r="P42" s="50" t="n">
        <f aca="false">O42+N42</f>
        <v>717642.416438292</v>
      </c>
      <c r="Q42" s="31" t="n">
        <f aca="false">MIN(Q41,P42)</f>
        <v>426439.947957376</v>
      </c>
      <c r="R42" s="31" t="n">
        <f aca="false">R41+G42</f>
        <v>-1091824.14433949</v>
      </c>
      <c r="S42" s="29" t="n">
        <f aca="false">IF(S41&gt;0,S41,IF(R42&gt;=0,A42,0))</f>
        <v>0</v>
      </c>
    </row>
    <row r="43" customFormat="false" ht="15.75" hidden="false" customHeight="true" outlineLevel="0" collapsed="false">
      <c r="A43" s="29" t="n">
        <v>32</v>
      </c>
      <c r="B43" s="29" t="n">
        <f aca="false">INT((A43-1)/12)+1</f>
        <v>3</v>
      </c>
      <c r="C43" s="29" t="n">
        <f aca="false">MOD(A43-1,12)+1</f>
        <v>8</v>
      </c>
      <c r="D43" s="41" t="n">
        <f aca="false" t="array" ref="D43:D43">IF(B43=1,INDEX(CALC_MONTHLY!$B$66:$M$66,C43),INDEX(CALC_PL!$B$19:$F$19,B43)/12)</f>
        <v>374655.93875</v>
      </c>
      <c r="E43" s="41" t="n">
        <f aca="false" t="array" ref="E43:E43">IF(B43=1,INDEX(CALC_MONTHLY!$B$7:$M$7,C43)*CALC_PL!$B$11+INDEX(CALC_MONTHLY!$B$8:$M$8,C43)*CALC_PL!$B$12,INDEX(CALC_PL!$B$24:$F$24,B43)/12)</f>
        <v>120934.844013889</v>
      </c>
      <c r="F43" s="41" t="n">
        <f aca="false" t="array" ref="F43:F43">INDEX(CALC_PL!$B$40:$F$40,B43)/12</f>
        <v>205187.349989292</v>
      </c>
      <c r="G43" s="31" t="n">
        <f aca="false">D43-E43-F43</f>
        <v>48533.7447468194</v>
      </c>
      <c r="H43" s="31" t="n">
        <f aca="false">D43*$B$5/30</f>
        <v>437098.595208333</v>
      </c>
      <c r="I43" s="31" t="n">
        <f aca="false">H43-H42</f>
        <v>0</v>
      </c>
      <c r="J43" s="31" t="n">
        <f aca="false">E43*$B$6/30</f>
        <v>241869.688027778</v>
      </c>
      <c r="K43" s="31" t="n">
        <f aca="false">J43-J42</f>
        <v>0</v>
      </c>
      <c r="L43" s="31" t="n">
        <f aca="false">E43*$B$7/30</f>
        <v>120934.844013889</v>
      </c>
      <c r="M43" s="31" t="n">
        <f aca="false">L43-L42</f>
        <v>0</v>
      </c>
      <c r="N43" s="31" t="n">
        <f aca="false">G43-I43-K43+M43</f>
        <v>48533.7447468194</v>
      </c>
      <c r="O43" s="31" t="n">
        <f aca="false">P42</f>
        <v>717642.416438292</v>
      </c>
      <c r="P43" s="50" t="n">
        <f aca="false">O43+N43</f>
        <v>766176.161185112</v>
      </c>
      <c r="Q43" s="31" t="n">
        <f aca="false">MIN(Q42,P43)</f>
        <v>426439.947957376</v>
      </c>
      <c r="R43" s="31" t="n">
        <f aca="false">R42+G43</f>
        <v>-1043290.39959267</v>
      </c>
      <c r="S43" s="29" t="n">
        <f aca="false">IF(S42&gt;0,S42,IF(R43&gt;=0,A43,0))</f>
        <v>0</v>
      </c>
    </row>
    <row r="44" customFormat="false" ht="15.75" hidden="false" customHeight="true" outlineLevel="0" collapsed="false">
      <c r="A44" s="29" t="n">
        <v>33</v>
      </c>
      <c r="B44" s="29" t="n">
        <f aca="false">INT((A44-1)/12)+1</f>
        <v>3</v>
      </c>
      <c r="C44" s="29" t="n">
        <f aca="false">MOD(A44-1,12)+1</f>
        <v>9</v>
      </c>
      <c r="D44" s="41" t="n">
        <f aca="false" t="array" ref="D44:D44">IF(B44=1,INDEX(CALC_MONTHLY!$B$66:$M$66,C44),INDEX(CALC_PL!$B$19:$F$19,B44)/12)</f>
        <v>374655.93875</v>
      </c>
      <c r="E44" s="41" t="n">
        <f aca="false" t="array" ref="E44:E44">IF(B44=1,INDEX(CALC_MONTHLY!$B$7:$M$7,C44)*CALC_PL!$B$11+INDEX(CALC_MONTHLY!$B$8:$M$8,C44)*CALC_PL!$B$12,INDEX(CALC_PL!$B$24:$F$24,B44)/12)</f>
        <v>120934.844013889</v>
      </c>
      <c r="F44" s="41" t="n">
        <f aca="false" t="array" ref="F44:F44">INDEX(CALC_PL!$B$40:$F$40,B44)/12</f>
        <v>205187.349989292</v>
      </c>
      <c r="G44" s="31" t="n">
        <f aca="false">D44-E44-F44</f>
        <v>48533.7447468194</v>
      </c>
      <c r="H44" s="31" t="n">
        <f aca="false">D44*$B$5/30</f>
        <v>437098.595208333</v>
      </c>
      <c r="I44" s="31" t="n">
        <f aca="false">H44-H43</f>
        <v>0</v>
      </c>
      <c r="J44" s="31" t="n">
        <f aca="false">E44*$B$6/30</f>
        <v>241869.688027778</v>
      </c>
      <c r="K44" s="31" t="n">
        <f aca="false">J44-J43</f>
        <v>0</v>
      </c>
      <c r="L44" s="31" t="n">
        <f aca="false">E44*$B$7/30</f>
        <v>120934.844013889</v>
      </c>
      <c r="M44" s="31" t="n">
        <f aca="false">L44-L43</f>
        <v>0</v>
      </c>
      <c r="N44" s="31" t="n">
        <f aca="false">G44-I44-K44+M44</f>
        <v>48533.7447468194</v>
      </c>
      <c r="O44" s="31" t="n">
        <f aca="false">P43</f>
        <v>766176.161185112</v>
      </c>
      <c r="P44" s="50" t="n">
        <f aca="false">O44+N44</f>
        <v>814709.905931931</v>
      </c>
      <c r="Q44" s="31" t="n">
        <f aca="false">MIN(Q43,P44)</f>
        <v>426439.947957376</v>
      </c>
      <c r="R44" s="31" t="n">
        <f aca="false">R43+G44</f>
        <v>-994756.654845847</v>
      </c>
      <c r="S44" s="29" t="n">
        <f aca="false">IF(S43&gt;0,S43,IF(R44&gt;=0,A44,0))</f>
        <v>0</v>
      </c>
    </row>
    <row r="45" customFormat="false" ht="15.75" hidden="false" customHeight="true" outlineLevel="0" collapsed="false">
      <c r="A45" s="29" t="n">
        <v>34</v>
      </c>
      <c r="B45" s="29" t="n">
        <f aca="false">INT((A45-1)/12)+1</f>
        <v>3</v>
      </c>
      <c r="C45" s="29" t="n">
        <f aca="false">MOD(A45-1,12)+1</f>
        <v>10</v>
      </c>
      <c r="D45" s="41" t="n">
        <f aca="false" t="array" ref="D45:D45">IF(B45=1,INDEX(CALC_MONTHLY!$B$66:$M$66,C45),INDEX(CALC_PL!$B$19:$F$19,B45)/12)</f>
        <v>374655.93875</v>
      </c>
      <c r="E45" s="41" t="n">
        <f aca="false" t="array" ref="E45:E45">IF(B45=1,INDEX(CALC_MONTHLY!$B$7:$M$7,C45)*CALC_PL!$B$11+INDEX(CALC_MONTHLY!$B$8:$M$8,C45)*CALC_PL!$B$12,INDEX(CALC_PL!$B$24:$F$24,B45)/12)</f>
        <v>120934.844013889</v>
      </c>
      <c r="F45" s="41" t="n">
        <f aca="false" t="array" ref="F45:F45">INDEX(CALC_PL!$B$40:$F$40,B45)/12</f>
        <v>205187.349989292</v>
      </c>
      <c r="G45" s="31" t="n">
        <f aca="false">D45-E45-F45</f>
        <v>48533.7447468194</v>
      </c>
      <c r="H45" s="31" t="n">
        <f aca="false">D45*$B$5/30</f>
        <v>437098.595208333</v>
      </c>
      <c r="I45" s="31" t="n">
        <f aca="false">H45-H44</f>
        <v>0</v>
      </c>
      <c r="J45" s="31" t="n">
        <f aca="false">E45*$B$6/30</f>
        <v>241869.688027778</v>
      </c>
      <c r="K45" s="31" t="n">
        <f aca="false">J45-J44</f>
        <v>0</v>
      </c>
      <c r="L45" s="31" t="n">
        <f aca="false">E45*$B$7/30</f>
        <v>120934.844013889</v>
      </c>
      <c r="M45" s="31" t="n">
        <f aca="false">L45-L44</f>
        <v>0</v>
      </c>
      <c r="N45" s="31" t="n">
        <f aca="false">G45-I45-K45+M45</f>
        <v>48533.7447468194</v>
      </c>
      <c r="O45" s="31" t="n">
        <f aca="false">P44</f>
        <v>814709.905931931</v>
      </c>
      <c r="P45" s="50" t="n">
        <f aca="false">O45+N45</f>
        <v>863243.650678751</v>
      </c>
      <c r="Q45" s="31" t="n">
        <f aca="false">MIN(Q44,P45)</f>
        <v>426439.947957376</v>
      </c>
      <c r="R45" s="31" t="n">
        <f aca="false">R44+G45</f>
        <v>-946222.910099027</v>
      </c>
      <c r="S45" s="29" t="n">
        <f aca="false">IF(S44&gt;0,S44,IF(R45&gt;=0,A45,0))</f>
        <v>0</v>
      </c>
    </row>
    <row r="46" customFormat="false" ht="15.75" hidden="false" customHeight="true" outlineLevel="0" collapsed="false">
      <c r="A46" s="29" t="n">
        <v>35</v>
      </c>
      <c r="B46" s="29" t="n">
        <f aca="false">INT((A46-1)/12)+1</f>
        <v>3</v>
      </c>
      <c r="C46" s="29" t="n">
        <f aca="false">MOD(A46-1,12)+1</f>
        <v>11</v>
      </c>
      <c r="D46" s="41" t="n">
        <f aca="false" t="array" ref="D46:D46">IF(B46=1,INDEX(CALC_MONTHLY!$B$66:$M$66,C46),INDEX(CALC_PL!$B$19:$F$19,B46)/12)</f>
        <v>374655.93875</v>
      </c>
      <c r="E46" s="41" t="n">
        <f aca="false" t="array" ref="E46:E46">IF(B46=1,INDEX(CALC_MONTHLY!$B$7:$M$7,C46)*CALC_PL!$B$11+INDEX(CALC_MONTHLY!$B$8:$M$8,C46)*CALC_PL!$B$12,INDEX(CALC_PL!$B$24:$F$24,B46)/12)</f>
        <v>120934.844013889</v>
      </c>
      <c r="F46" s="41" t="n">
        <f aca="false" t="array" ref="F46:F46">INDEX(CALC_PL!$B$40:$F$40,B46)/12</f>
        <v>205187.349989292</v>
      </c>
      <c r="G46" s="31" t="n">
        <f aca="false">D46-E46-F46</f>
        <v>48533.7447468194</v>
      </c>
      <c r="H46" s="31" t="n">
        <f aca="false">D46*$B$5/30</f>
        <v>437098.595208333</v>
      </c>
      <c r="I46" s="31" t="n">
        <f aca="false">H46-H45</f>
        <v>0</v>
      </c>
      <c r="J46" s="31" t="n">
        <f aca="false">E46*$B$6/30</f>
        <v>241869.688027778</v>
      </c>
      <c r="K46" s="31" t="n">
        <f aca="false">J46-J45</f>
        <v>0</v>
      </c>
      <c r="L46" s="31" t="n">
        <f aca="false">E46*$B$7/30</f>
        <v>120934.844013889</v>
      </c>
      <c r="M46" s="31" t="n">
        <f aca="false">L46-L45</f>
        <v>0</v>
      </c>
      <c r="N46" s="31" t="n">
        <f aca="false">G46-I46-K46+M46</f>
        <v>48533.7447468194</v>
      </c>
      <c r="O46" s="31" t="n">
        <f aca="false">P45</f>
        <v>863243.650678751</v>
      </c>
      <c r="P46" s="50" t="n">
        <f aca="false">O46+N46</f>
        <v>911777.39542557</v>
      </c>
      <c r="Q46" s="31" t="n">
        <f aca="false">MIN(Q45,P46)</f>
        <v>426439.947957376</v>
      </c>
      <c r="R46" s="31" t="n">
        <f aca="false">R45+G46</f>
        <v>-897689.165352208</v>
      </c>
      <c r="S46" s="29" t="n">
        <f aca="false">IF(S45&gt;0,S45,IF(R46&gt;=0,A46,0))</f>
        <v>0</v>
      </c>
    </row>
    <row r="47" customFormat="false" ht="15.75" hidden="false" customHeight="true" outlineLevel="0" collapsed="false">
      <c r="A47" s="53" t="n">
        <v>36</v>
      </c>
      <c r="B47" s="53" t="n">
        <f aca="false">INT((A47-1)/12)+1</f>
        <v>3</v>
      </c>
      <c r="C47" s="53" t="n">
        <f aca="false">MOD(A47-1,12)+1</f>
        <v>12</v>
      </c>
      <c r="D47" s="54" t="n">
        <f aca="false" t="array" ref="D47:D47">IF(B47=1,INDEX(CALC_MONTHLY!$B$66:$M$66,C47),INDEX(CALC_PL!$B$19:$F$19,B47)/12)</f>
        <v>374655.93875</v>
      </c>
      <c r="E47" s="54" t="n">
        <f aca="false" t="array" ref="E47:E47">IF(B47=1,INDEX(CALC_MONTHLY!$B$7:$M$7,C47)*CALC_PL!$B$11+INDEX(CALC_MONTHLY!$B$8:$M$8,C47)*CALC_PL!$B$12,INDEX(CALC_PL!$B$24:$F$24,B47)/12)</f>
        <v>120934.844013889</v>
      </c>
      <c r="F47" s="54" t="n">
        <f aca="false" t="array" ref="F47:F47">INDEX(CALC_PL!$B$40:$F$40,B47)/12</f>
        <v>205187.349989292</v>
      </c>
      <c r="G47" s="55" t="n">
        <f aca="false">D47-E47-F47</f>
        <v>48533.7447468194</v>
      </c>
      <c r="H47" s="55" t="n">
        <f aca="false">D47*$B$5/30</f>
        <v>437098.595208333</v>
      </c>
      <c r="I47" s="55" t="n">
        <f aca="false">H47-H46</f>
        <v>0</v>
      </c>
      <c r="J47" s="55" t="n">
        <f aca="false">E47*$B$6/30</f>
        <v>241869.688027778</v>
      </c>
      <c r="K47" s="55" t="n">
        <f aca="false">J47-J46</f>
        <v>0</v>
      </c>
      <c r="L47" s="55" t="n">
        <f aca="false">E47*$B$7/30</f>
        <v>120934.844013889</v>
      </c>
      <c r="M47" s="55" t="n">
        <f aca="false">L47-L46</f>
        <v>0</v>
      </c>
      <c r="N47" s="55" t="n">
        <f aca="false">G47-I47-K47+M47</f>
        <v>48533.7447468194</v>
      </c>
      <c r="O47" s="55" t="n">
        <f aca="false">P46</f>
        <v>911777.39542557</v>
      </c>
      <c r="P47" s="51" t="n">
        <f aca="false">O47+N47</f>
        <v>960311.140172389</v>
      </c>
      <c r="Q47" s="55" t="n">
        <f aca="false">MIN(Q46,P47)</f>
        <v>426439.947957376</v>
      </c>
      <c r="R47" s="55" t="n">
        <f aca="false">R46+G47</f>
        <v>-849155.420605389</v>
      </c>
      <c r="S47" s="53" t="n">
        <f aca="false">IF(S46&gt;0,S46,IF(R47&gt;=0,A47,0))</f>
        <v>0</v>
      </c>
    </row>
    <row r="48" customFormat="false" ht="15.75" hidden="false" customHeight="true" outlineLevel="0" collapsed="false">
      <c r="A48" s="29" t="n">
        <v>37</v>
      </c>
      <c r="B48" s="29" t="n">
        <f aca="false">INT((A48-1)/12)+1</f>
        <v>4</v>
      </c>
      <c r="C48" s="29" t="n">
        <f aca="false">MOD(A48-1,12)+1</f>
        <v>1</v>
      </c>
      <c r="D48" s="41" t="n">
        <f aca="false" t="array" ref="D48:D48">IF(B48=1,INDEX(CALC_MONTHLY!$B$66:$M$66,C48),INDEX(CALC_PL!$B$19:$F$19,B48)/12)</f>
        <v>874842.10402</v>
      </c>
      <c r="E48" s="41" t="n">
        <f aca="false" t="array" ref="E48:E48">IF(B48=1,INDEX(CALC_MONTHLY!$B$7:$M$7,C48)*CALC_PL!$B$11+INDEX(CALC_MONTHLY!$B$8:$M$8,C48)*CALC_PL!$B$12,INDEX(CALC_PL!$B$24:$F$24,B48)/12)</f>
        <v>259401.939205333</v>
      </c>
      <c r="F48" s="41" t="n">
        <f aca="false" t="array" ref="F48:F48">INDEX(CALC_PL!$B$40:$F$40,B48)/12</f>
        <v>323370.496536876</v>
      </c>
      <c r="G48" s="31" t="n">
        <f aca="false">D48-E48-F48</f>
        <v>292069.668277791</v>
      </c>
      <c r="H48" s="31" t="n">
        <f aca="false">D48*$B$5/30</f>
        <v>1020649.12135667</v>
      </c>
      <c r="I48" s="31" t="n">
        <f aca="false">H48-H47</f>
        <v>583550.526148333</v>
      </c>
      <c r="J48" s="31" t="n">
        <f aca="false">E48*$B$6/30</f>
        <v>518803.878410667</v>
      </c>
      <c r="K48" s="31" t="n">
        <f aca="false">J48-J47</f>
        <v>276934.190382889</v>
      </c>
      <c r="L48" s="31" t="n">
        <f aca="false">E48*$B$7/30</f>
        <v>259401.939205333</v>
      </c>
      <c r="M48" s="31" t="n">
        <f aca="false">L48-L47</f>
        <v>138467.095191444</v>
      </c>
      <c r="N48" s="31" t="n">
        <f aca="false">G48-I48-K48+M48</f>
        <v>-429947.953061987</v>
      </c>
      <c r="O48" s="31" t="n">
        <f aca="false">P47</f>
        <v>960311.140172389</v>
      </c>
      <c r="P48" s="50" t="n">
        <f aca="false">O48+N48</f>
        <v>530363.187110402</v>
      </c>
      <c r="Q48" s="31" t="n">
        <f aca="false">MIN(Q47,P48)</f>
        <v>426439.947957376</v>
      </c>
      <c r="R48" s="31" t="n">
        <f aca="false">R47+G48</f>
        <v>-557085.752327598</v>
      </c>
      <c r="S48" s="29" t="n">
        <f aca="false">IF(S47&gt;0,S47,IF(R48&gt;=0,A48,0))</f>
        <v>0</v>
      </c>
    </row>
    <row r="49" customFormat="false" ht="15.75" hidden="false" customHeight="true" outlineLevel="0" collapsed="false">
      <c r="A49" s="29" t="n">
        <v>38</v>
      </c>
      <c r="B49" s="29" t="n">
        <f aca="false">INT((A49-1)/12)+1</f>
        <v>4</v>
      </c>
      <c r="C49" s="29" t="n">
        <f aca="false">MOD(A49-1,12)+1</f>
        <v>2</v>
      </c>
      <c r="D49" s="41" t="n">
        <f aca="false" t="array" ref="D49:D49">IF(B49=1,INDEX(CALC_MONTHLY!$B$66:$M$66,C49),INDEX(CALC_PL!$B$19:$F$19,B49)/12)</f>
        <v>874842.10402</v>
      </c>
      <c r="E49" s="41" t="n">
        <f aca="false" t="array" ref="E49:E49">IF(B49=1,INDEX(CALC_MONTHLY!$B$7:$M$7,C49)*CALC_PL!$B$11+INDEX(CALC_MONTHLY!$B$8:$M$8,C49)*CALC_PL!$B$12,INDEX(CALC_PL!$B$24:$F$24,B49)/12)</f>
        <v>259401.939205333</v>
      </c>
      <c r="F49" s="41" t="n">
        <f aca="false" t="array" ref="F49:F49">INDEX(CALC_PL!$B$40:$F$40,B49)/12</f>
        <v>323370.496536876</v>
      </c>
      <c r="G49" s="31" t="n">
        <f aca="false">D49-E49-F49</f>
        <v>292069.668277791</v>
      </c>
      <c r="H49" s="31" t="n">
        <f aca="false">D49*$B$5/30</f>
        <v>1020649.12135667</v>
      </c>
      <c r="I49" s="31" t="n">
        <f aca="false">H49-H48</f>
        <v>0</v>
      </c>
      <c r="J49" s="31" t="n">
        <f aca="false">E49*$B$6/30</f>
        <v>518803.878410667</v>
      </c>
      <c r="K49" s="31" t="n">
        <f aca="false">J49-J48</f>
        <v>0</v>
      </c>
      <c r="L49" s="31" t="n">
        <f aca="false">E49*$B$7/30</f>
        <v>259401.939205333</v>
      </c>
      <c r="M49" s="31" t="n">
        <f aca="false">L49-L48</f>
        <v>0</v>
      </c>
      <c r="N49" s="31" t="n">
        <f aca="false">G49-I49-K49+M49</f>
        <v>292069.668277791</v>
      </c>
      <c r="O49" s="31" t="n">
        <f aca="false">P48</f>
        <v>530363.187110402</v>
      </c>
      <c r="P49" s="50" t="n">
        <f aca="false">O49+N49</f>
        <v>822432.855388193</v>
      </c>
      <c r="Q49" s="31" t="n">
        <f aca="false">MIN(Q48,P49)</f>
        <v>426439.947957376</v>
      </c>
      <c r="R49" s="31" t="n">
        <f aca="false">R48+G49</f>
        <v>-265016.084049807</v>
      </c>
      <c r="S49" s="29" t="n">
        <f aca="false">IF(S48&gt;0,S48,IF(R49&gt;=0,A49,0))</f>
        <v>0</v>
      </c>
    </row>
    <row r="50" customFormat="false" ht="15.75" hidden="false" customHeight="true" outlineLevel="0" collapsed="false">
      <c r="A50" s="29" t="n">
        <v>39</v>
      </c>
      <c r="B50" s="29" t="n">
        <f aca="false">INT((A50-1)/12)+1</f>
        <v>4</v>
      </c>
      <c r="C50" s="29" t="n">
        <f aca="false">MOD(A50-1,12)+1</f>
        <v>3</v>
      </c>
      <c r="D50" s="41" t="n">
        <f aca="false" t="array" ref="D50:D50">IF(B50=1,INDEX(CALC_MONTHLY!$B$66:$M$66,C50),INDEX(CALC_PL!$B$19:$F$19,B50)/12)</f>
        <v>874842.10402</v>
      </c>
      <c r="E50" s="41" t="n">
        <f aca="false" t="array" ref="E50:E50">IF(B50=1,INDEX(CALC_MONTHLY!$B$7:$M$7,C50)*CALC_PL!$B$11+INDEX(CALC_MONTHLY!$B$8:$M$8,C50)*CALC_PL!$B$12,INDEX(CALC_PL!$B$24:$F$24,B50)/12)</f>
        <v>259401.939205333</v>
      </c>
      <c r="F50" s="41" t="n">
        <f aca="false" t="array" ref="F50:F50">INDEX(CALC_PL!$B$40:$F$40,B50)/12</f>
        <v>323370.496536876</v>
      </c>
      <c r="G50" s="31" t="n">
        <f aca="false">D50-E50-F50</f>
        <v>292069.668277791</v>
      </c>
      <c r="H50" s="31" t="n">
        <f aca="false">D50*$B$5/30</f>
        <v>1020649.12135667</v>
      </c>
      <c r="I50" s="31" t="n">
        <f aca="false">H50-H49</f>
        <v>0</v>
      </c>
      <c r="J50" s="31" t="n">
        <f aca="false">E50*$B$6/30</f>
        <v>518803.878410667</v>
      </c>
      <c r="K50" s="31" t="n">
        <f aca="false">J50-J49</f>
        <v>0</v>
      </c>
      <c r="L50" s="31" t="n">
        <f aca="false">E50*$B$7/30</f>
        <v>259401.939205333</v>
      </c>
      <c r="M50" s="31" t="n">
        <f aca="false">L50-L49</f>
        <v>0</v>
      </c>
      <c r="N50" s="31" t="n">
        <f aca="false">G50-I50-K50+M50</f>
        <v>292069.668277791</v>
      </c>
      <c r="O50" s="31" t="n">
        <f aca="false">P49</f>
        <v>822432.855388193</v>
      </c>
      <c r="P50" s="50" t="n">
        <f aca="false">O50+N50</f>
        <v>1114502.52366598</v>
      </c>
      <c r="Q50" s="31" t="n">
        <f aca="false">MIN(Q49,P50)</f>
        <v>426439.947957376</v>
      </c>
      <c r="R50" s="31" t="n">
        <f aca="false">R49+G50</f>
        <v>27053.584227983</v>
      </c>
      <c r="S50" s="29" t="n">
        <f aca="false">IF(S49&gt;0,S49,IF(R50&gt;=0,A50,0))</f>
        <v>39</v>
      </c>
    </row>
    <row r="51" customFormat="false" ht="15.75" hidden="false" customHeight="true" outlineLevel="0" collapsed="false">
      <c r="A51" s="29" t="n">
        <v>40</v>
      </c>
      <c r="B51" s="29" t="n">
        <f aca="false">INT((A51-1)/12)+1</f>
        <v>4</v>
      </c>
      <c r="C51" s="29" t="n">
        <f aca="false">MOD(A51-1,12)+1</f>
        <v>4</v>
      </c>
      <c r="D51" s="41" t="n">
        <f aca="false" t="array" ref="D51:D51">IF(B51=1,INDEX(CALC_MONTHLY!$B$66:$M$66,C51),INDEX(CALC_PL!$B$19:$F$19,B51)/12)</f>
        <v>874842.10402</v>
      </c>
      <c r="E51" s="41" t="n">
        <f aca="false" t="array" ref="E51:E51">IF(B51=1,INDEX(CALC_MONTHLY!$B$7:$M$7,C51)*CALC_PL!$B$11+INDEX(CALC_MONTHLY!$B$8:$M$8,C51)*CALC_PL!$B$12,INDEX(CALC_PL!$B$24:$F$24,B51)/12)</f>
        <v>259401.939205333</v>
      </c>
      <c r="F51" s="41" t="n">
        <f aca="false" t="array" ref="F51:F51">INDEX(CALC_PL!$B$40:$F$40,B51)/12</f>
        <v>323370.496536876</v>
      </c>
      <c r="G51" s="31" t="n">
        <f aca="false">D51-E51-F51</f>
        <v>292069.668277791</v>
      </c>
      <c r="H51" s="31" t="n">
        <f aca="false">D51*$B$5/30</f>
        <v>1020649.12135667</v>
      </c>
      <c r="I51" s="31" t="n">
        <f aca="false">H51-H50</f>
        <v>0</v>
      </c>
      <c r="J51" s="31" t="n">
        <f aca="false">E51*$B$6/30</f>
        <v>518803.878410667</v>
      </c>
      <c r="K51" s="31" t="n">
        <f aca="false">J51-J50</f>
        <v>0</v>
      </c>
      <c r="L51" s="31" t="n">
        <f aca="false">E51*$B$7/30</f>
        <v>259401.939205333</v>
      </c>
      <c r="M51" s="31" t="n">
        <f aca="false">L51-L50</f>
        <v>0</v>
      </c>
      <c r="N51" s="31" t="n">
        <f aca="false">G51-I51-K51+M51</f>
        <v>292069.668277791</v>
      </c>
      <c r="O51" s="31" t="n">
        <f aca="false">P50</f>
        <v>1114502.52366598</v>
      </c>
      <c r="P51" s="50" t="n">
        <f aca="false">O51+N51</f>
        <v>1406572.19194377</v>
      </c>
      <c r="Q51" s="31" t="n">
        <f aca="false">MIN(Q50,P51)</f>
        <v>426439.947957376</v>
      </c>
      <c r="R51" s="31" t="n">
        <f aca="false">R50+G51</f>
        <v>319123.252505774</v>
      </c>
      <c r="S51" s="29" t="n">
        <f aca="false">IF(S50&gt;0,S50,IF(R51&gt;=0,A51,0))</f>
        <v>39</v>
      </c>
    </row>
    <row r="52" customFormat="false" ht="15.75" hidden="false" customHeight="true" outlineLevel="0" collapsed="false">
      <c r="A52" s="29" t="n">
        <v>41</v>
      </c>
      <c r="B52" s="29" t="n">
        <f aca="false">INT((A52-1)/12)+1</f>
        <v>4</v>
      </c>
      <c r="C52" s="29" t="n">
        <f aca="false">MOD(A52-1,12)+1</f>
        <v>5</v>
      </c>
      <c r="D52" s="41" t="n">
        <f aca="false" t="array" ref="D52:D52">IF(B52=1,INDEX(CALC_MONTHLY!$B$66:$M$66,C52),INDEX(CALC_PL!$B$19:$F$19,B52)/12)</f>
        <v>874842.10402</v>
      </c>
      <c r="E52" s="41" t="n">
        <f aca="false" t="array" ref="E52:E52">IF(B52=1,INDEX(CALC_MONTHLY!$B$7:$M$7,C52)*CALC_PL!$B$11+INDEX(CALC_MONTHLY!$B$8:$M$8,C52)*CALC_PL!$B$12,INDEX(CALC_PL!$B$24:$F$24,B52)/12)</f>
        <v>259401.939205333</v>
      </c>
      <c r="F52" s="41" t="n">
        <f aca="false" t="array" ref="F52:F52">INDEX(CALC_PL!$B$40:$F$40,B52)/12</f>
        <v>323370.496536876</v>
      </c>
      <c r="G52" s="31" t="n">
        <f aca="false">D52-E52-F52</f>
        <v>292069.668277791</v>
      </c>
      <c r="H52" s="31" t="n">
        <f aca="false">D52*$B$5/30</f>
        <v>1020649.12135667</v>
      </c>
      <c r="I52" s="31" t="n">
        <f aca="false">H52-H51</f>
        <v>0</v>
      </c>
      <c r="J52" s="31" t="n">
        <f aca="false">E52*$B$6/30</f>
        <v>518803.878410667</v>
      </c>
      <c r="K52" s="31" t="n">
        <f aca="false">J52-J51</f>
        <v>0</v>
      </c>
      <c r="L52" s="31" t="n">
        <f aca="false">E52*$B$7/30</f>
        <v>259401.939205333</v>
      </c>
      <c r="M52" s="31" t="n">
        <f aca="false">L52-L51</f>
        <v>0</v>
      </c>
      <c r="N52" s="31" t="n">
        <f aca="false">G52-I52-K52+M52</f>
        <v>292069.668277791</v>
      </c>
      <c r="O52" s="31" t="n">
        <f aca="false">P51</f>
        <v>1406572.19194377</v>
      </c>
      <c r="P52" s="50" t="n">
        <f aca="false">O52+N52</f>
        <v>1698641.86022156</v>
      </c>
      <c r="Q52" s="31" t="n">
        <f aca="false">MIN(Q51,P52)</f>
        <v>426439.947957376</v>
      </c>
      <c r="R52" s="31" t="n">
        <f aca="false">R51+G52</f>
        <v>611192.920783564</v>
      </c>
      <c r="S52" s="29" t="n">
        <f aca="false">IF(S51&gt;0,S51,IF(R52&gt;=0,A52,0))</f>
        <v>39</v>
      </c>
    </row>
    <row r="53" customFormat="false" ht="15.75" hidden="false" customHeight="true" outlineLevel="0" collapsed="false">
      <c r="A53" s="29" t="n">
        <v>42</v>
      </c>
      <c r="B53" s="29" t="n">
        <f aca="false">INT((A53-1)/12)+1</f>
        <v>4</v>
      </c>
      <c r="C53" s="29" t="n">
        <f aca="false">MOD(A53-1,12)+1</f>
        <v>6</v>
      </c>
      <c r="D53" s="41" t="n">
        <f aca="false" t="array" ref="D53:D53">IF(B53=1,INDEX(CALC_MONTHLY!$B$66:$M$66,C53),INDEX(CALC_PL!$B$19:$F$19,B53)/12)</f>
        <v>874842.10402</v>
      </c>
      <c r="E53" s="41" t="n">
        <f aca="false" t="array" ref="E53:E53">IF(B53=1,INDEX(CALC_MONTHLY!$B$7:$M$7,C53)*CALC_PL!$B$11+INDEX(CALC_MONTHLY!$B$8:$M$8,C53)*CALC_PL!$B$12,INDEX(CALC_PL!$B$24:$F$24,B53)/12)</f>
        <v>259401.939205333</v>
      </c>
      <c r="F53" s="41" t="n">
        <f aca="false" t="array" ref="F53:F53">INDEX(CALC_PL!$B$40:$F$40,B53)/12</f>
        <v>323370.496536876</v>
      </c>
      <c r="G53" s="31" t="n">
        <f aca="false">D53-E53-F53</f>
        <v>292069.668277791</v>
      </c>
      <c r="H53" s="31" t="n">
        <f aca="false">D53*$B$5/30</f>
        <v>1020649.12135667</v>
      </c>
      <c r="I53" s="31" t="n">
        <f aca="false">H53-H52</f>
        <v>0</v>
      </c>
      <c r="J53" s="31" t="n">
        <f aca="false">E53*$B$6/30</f>
        <v>518803.878410667</v>
      </c>
      <c r="K53" s="31" t="n">
        <f aca="false">J53-J52</f>
        <v>0</v>
      </c>
      <c r="L53" s="31" t="n">
        <f aca="false">E53*$B$7/30</f>
        <v>259401.939205333</v>
      </c>
      <c r="M53" s="31" t="n">
        <f aca="false">L53-L52</f>
        <v>0</v>
      </c>
      <c r="N53" s="31" t="n">
        <f aca="false">G53-I53-K53+M53</f>
        <v>292069.668277791</v>
      </c>
      <c r="O53" s="31" t="n">
        <f aca="false">P52</f>
        <v>1698641.86022156</v>
      </c>
      <c r="P53" s="50" t="n">
        <f aca="false">O53+N53</f>
        <v>1990711.52849935</v>
      </c>
      <c r="Q53" s="31" t="n">
        <f aca="false">MIN(Q52,P53)</f>
        <v>426439.947957376</v>
      </c>
      <c r="R53" s="31" t="n">
        <f aca="false">R52+G53</f>
        <v>903262.589061355</v>
      </c>
      <c r="S53" s="29" t="n">
        <f aca="false">IF(S52&gt;0,S52,IF(R53&gt;=0,A53,0))</f>
        <v>39</v>
      </c>
    </row>
    <row r="54" customFormat="false" ht="15.75" hidden="false" customHeight="true" outlineLevel="0" collapsed="false">
      <c r="A54" s="29" t="n">
        <v>43</v>
      </c>
      <c r="B54" s="29" t="n">
        <f aca="false">INT((A54-1)/12)+1</f>
        <v>4</v>
      </c>
      <c r="C54" s="29" t="n">
        <f aca="false">MOD(A54-1,12)+1</f>
        <v>7</v>
      </c>
      <c r="D54" s="41" t="n">
        <f aca="false" t="array" ref="D54:D54">IF(B54=1,INDEX(CALC_MONTHLY!$B$66:$M$66,C54),INDEX(CALC_PL!$B$19:$F$19,B54)/12)</f>
        <v>874842.10402</v>
      </c>
      <c r="E54" s="41" t="n">
        <f aca="false" t="array" ref="E54:E54">IF(B54=1,INDEX(CALC_MONTHLY!$B$7:$M$7,C54)*CALC_PL!$B$11+INDEX(CALC_MONTHLY!$B$8:$M$8,C54)*CALC_PL!$B$12,INDEX(CALC_PL!$B$24:$F$24,B54)/12)</f>
        <v>259401.939205333</v>
      </c>
      <c r="F54" s="41" t="n">
        <f aca="false" t="array" ref="F54:F54">INDEX(CALC_PL!$B$40:$F$40,B54)/12</f>
        <v>323370.496536876</v>
      </c>
      <c r="G54" s="31" t="n">
        <f aca="false">D54-E54-F54</f>
        <v>292069.668277791</v>
      </c>
      <c r="H54" s="31" t="n">
        <f aca="false">D54*$B$5/30</f>
        <v>1020649.12135667</v>
      </c>
      <c r="I54" s="31" t="n">
        <f aca="false">H54-H53</f>
        <v>0</v>
      </c>
      <c r="J54" s="31" t="n">
        <f aca="false">E54*$B$6/30</f>
        <v>518803.878410667</v>
      </c>
      <c r="K54" s="31" t="n">
        <f aca="false">J54-J53</f>
        <v>0</v>
      </c>
      <c r="L54" s="31" t="n">
        <f aca="false">E54*$B$7/30</f>
        <v>259401.939205333</v>
      </c>
      <c r="M54" s="31" t="n">
        <f aca="false">L54-L53</f>
        <v>0</v>
      </c>
      <c r="N54" s="31" t="n">
        <f aca="false">G54-I54-K54+M54</f>
        <v>292069.668277791</v>
      </c>
      <c r="O54" s="31" t="n">
        <f aca="false">P53</f>
        <v>1990711.52849935</v>
      </c>
      <c r="P54" s="50" t="n">
        <f aca="false">O54+N54</f>
        <v>2282781.19677715</v>
      </c>
      <c r="Q54" s="31" t="n">
        <f aca="false">MIN(Q53,P54)</f>
        <v>426439.947957376</v>
      </c>
      <c r="R54" s="31" t="n">
        <f aca="false">R53+G54</f>
        <v>1195332.25733915</v>
      </c>
      <c r="S54" s="29" t="n">
        <f aca="false">IF(S53&gt;0,S53,IF(R54&gt;=0,A54,0))</f>
        <v>39</v>
      </c>
    </row>
    <row r="55" customFormat="false" ht="15.75" hidden="false" customHeight="true" outlineLevel="0" collapsed="false">
      <c r="A55" s="29" t="n">
        <v>44</v>
      </c>
      <c r="B55" s="29" t="n">
        <f aca="false">INT((A55-1)/12)+1</f>
        <v>4</v>
      </c>
      <c r="C55" s="29" t="n">
        <f aca="false">MOD(A55-1,12)+1</f>
        <v>8</v>
      </c>
      <c r="D55" s="41" t="n">
        <f aca="false" t="array" ref="D55:D55">IF(B55=1,INDEX(CALC_MONTHLY!$B$66:$M$66,C55),INDEX(CALC_PL!$B$19:$F$19,B55)/12)</f>
        <v>874842.10402</v>
      </c>
      <c r="E55" s="41" t="n">
        <f aca="false" t="array" ref="E55:E55">IF(B55=1,INDEX(CALC_MONTHLY!$B$7:$M$7,C55)*CALC_PL!$B$11+INDEX(CALC_MONTHLY!$B$8:$M$8,C55)*CALC_PL!$B$12,INDEX(CALC_PL!$B$24:$F$24,B55)/12)</f>
        <v>259401.939205333</v>
      </c>
      <c r="F55" s="41" t="n">
        <f aca="false" t="array" ref="F55:F55">INDEX(CALC_PL!$B$40:$F$40,B55)/12</f>
        <v>323370.496536876</v>
      </c>
      <c r="G55" s="31" t="n">
        <f aca="false">D55-E55-F55</f>
        <v>292069.668277791</v>
      </c>
      <c r="H55" s="31" t="n">
        <f aca="false">D55*$B$5/30</f>
        <v>1020649.12135667</v>
      </c>
      <c r="I55" s="31" t="n">
        <f aca="false">H55-H54</f>
        <v>0</v>
      </c>
      <c r="J55" s="31" t="n">
        <f aca="false">E55*$B$6/30</f>
        <v>518803.878410667</v>
      </c>
      <c r="K55" s="31" t="n">
        <f aca="false">J55-J54</f>
        <v>0</v>
      </c>
      <c r="L55" s="31" t="n">
        <f aca="false">E55*$B$7/30</f>
        <v>259401.939205333</v>
      </c>
      <c r="M55" s="31" t="n">
        <f aca="false">L55-L54</f>
        <v>0</v>
      </c>
      <c r="N55" s="31" t="n">
        <f aca="false">G55-I55-K55+M55</f>
        <v>292069.668277791</v>
      </c>
      <c r="O55" s="31" t="n">
        <f aca="false">P54</f>
        <v>2282781.19677715</v>
      </c>
      <c r="P55" s="50" t="n">
        <f aca="false">O55+N55</f>
        <v>2574850.86505494</v>
      </c>
      <c r="Q55" s="31" t="n">
        <f aca="false">MIN(Q54,P55)</f>
        <v>426439.947957376</v>
      </c>
      <c r="R55" s="31" t="n">
        <f aca="false">R54+G55</f>
        <v>1487401.92561694</v>
      </c>
      <c r="S55" s="29" t="n">
        <f aca="false">IF(S54&gt;0,S54,IF(R55&gt;=0,A55,0))</f>
        <v>39</v>
      </c>
    </row>
    <row r="56" customFormat="false" ht="15.75" hidden="false" customHeight="true" outlineLevel="0" collapsed="false">
      <c r="A56" s="29" t="n">
        <v>45</v>
      </c>
      <c r="B56" s="29" t="n">
        <f aca="false">INT((A56-1)/12)+1</f>
        <v>4</v>
      </c>
      <c r="C56" s="29" t="n">
        <f aca="false">MOD(A56-1,12)+1</f>
        <v>9</v>
      </c>
      <c r="D56" s="41" t="n">
        <f aca="false" t="array" ref="D56:D56">IF(B56=1,INDEX(CALC_MONTHLY!$B$66:$M$66,C56),INDEX(CALC_PL!$B$19:$F$19,B56)/12)</f>
        <v>874842.10402</v>
      </c>
      <c r="E56" s="41" t="n">
        <f aca="false" t="array" ref="E56:E56">IF(B56=1,INDEX(CALC_MONTHLY!$B$7:$M$7,C56)*CALC_PL!$B$11+INDEX(CALC_MONTHLY!$B$8:$M$8,C56)*CALC_PL!$B$12,INDEX(CALC_PL!$B$24:$F$24,B56)/12)</f>
        <v>259401.939205333</v>
      </c>
      <c r="F56" s="41" t="n">
        <f aca="false" t="array" ref="F56:F56">INDEX(CALC_PL!$B$40:$F$40,B56)/12</f>
        <v>323370.496536876</v>
      </c>
      <c r="G56" s="31" t="n">
        <f aca="false">D56-E56-F56</f>
        <v>292069.668277791</v>
      </c>
      <c r="H56" s="31" t="n">
        <f aca="false">D56*$B$5/30</f>
        <v>1020649.12135667</v>
      </c>
      <c r="I56" s="31" t="n">
        <f aca="false">H56-H55</f>
        <v>0</v>
      </c>
      <c r="J56" s="31" t="n">
        <f aca="false">E56*$B$6/30</f>
        <v>518803.878410667</v>
      </c>
      <c r="K56" s="31" t="n">
        <f aca="false">J56-J55</f>
        <v>0</v>
      </c>
      <c r="L56" s="31" t="n">
        <f aca="false">E56*$B$7/30</f>
        <v>259401.939205333</v>
      </c>
      <c r="M56" s="31" t="n">
        <f aca="false">L56-L55</f>
        <v>0</v>
      </c>
      <c r="N56" s="31" t="n">
        <f aca="false">G56-I56-K56+M56</f>
        <v>292069.668277791</v>
      </c>
      <c r="O56" s="31" t="n">
        <f aca="false">P55</f>
        <v>2574850.86505494</v>
      </c>
      <c r="P56" s="50" t="n">
        <f aca="false">O56+N56</f>
        <v>2866920.53333273</v>
      </c>
      <c r="Q56" s="31" t="n">
        <f aca="false">MIN(Q55,P56)</f>
        <v>426439.947957376</v>
      </c>
      <c r="R56" s="31" t="n">
        <f aca="false">R55+G56</f>
        <v>1779471.59389473</v>
      </c>
      <c r="S56" s="29" t="n">
        <f aca="false">IF(S55&gt;0,S55,IF(R56&gt;=0,A56,0))</f>
        <v>39</v>
      </c>
    </row>
    <row r="57" customFormat="false" ht="15.75" hidden="false" customHeight="true" outlineLevel="0" collapsed="false">
      <c r="A57" s="29" t="n">
        <v>46</v>
      </c>
      <c r="B57" s="29" t="n">
        <f aca="false">INT((A57-1)/12)+1</f>
        <v>4</v>
      </c>
      <c r="C57" s="29" t="n">
        <f aca="false">MOD(A57-1,12)+1</f>
        <v>10</v>
      </c>
      <c r="D57" s="41" t="n">
        <f aca="false" t="array" ref="D57:D57">IF(B57=1,INDEX(CALC_MONTHLY!$B$66:$M$66,C57),INDEX(CALC_PL!$B$19:$F$19,B57)/12)</f>
        <v>874842.10402</v>
      </c>
      <c r="E57" s="41" t="n">
        <f aca="false" t="array" ref="E57:E57">IF(B57=1,INDEX(CALC_MONTHLY!$B$7:$M$7,C57)*CALC_PL!$B$11+INDEX(CALC_MONTHLY!$B$8:$M$8,C57)*CALC_PL!$B$12,INDEX(CALC_PL!$B$24:$F$24,B57)/12)</f>
        <v>259401.939205333</v>
      </c>
      <c r="F57" s="41" t="n">
        <f aca="false" t="array" ref="F57:F57">INDEX(CALC_PL!$B$40:$F$40,B57)/12</f>
        <v>323370.496536876</v>
      </c>
      <c r="G57" s="31" t="n">
        <f aca="false">D57-E57-F57</f>
        <v>292069.668277791</v>
      </c>
      <c r="H57" s="31" t="n">
        <f aca="false">D57*$B$5/30</f>
        <v>1020649.12135667</v>
      </c>
      <c r="I57" s="31" t="n">
        <f aca="false">H57-H56</f>
        <v>0</v>
      </c>
      <c r="J57" s="31" t="n">
        <f aca="false">E57*$B$6/30</f>
        <v>518803.878410667</v>
      </c>
      <c r="K57" s="31" t="n">
        <f aca="false">J57-J56</f>
        <v>0</v>
      </c>
      <c r="L57" s="31" t="n">
        <f aca="false">E57*$B$7/30</f>
        <v>259401.939205333</v>
      </c>
      <c r="M57" s="31" t="n">
        <f aca="false">L57-L56</f>
        <v>0</v>
      </c>
      <c r="N57" s="31" t="n">
        <f aca="false">G57-I57-K57+M57</f>
        <v>292069.668277791</v>
      </c>
      <c r="O57" s="31" t="n">
        <f aca="false">P56</f>
        <v>2866920.53333273</v>
      </c>
      <c r="P57" s="50" t="n">
        <f aca="false">O57+N57</f>
        <v>3158990.20161052</v>
      </c>
      <c r="Q57" s="31" t="n">
        <f aca="false">MIN(Q56,P57)</f>
        <v>426439.947957376</v>
      </c>
      <c r="R57" s="31" t="n">
        <f aca="false">R56+G57</f>
        <v>2071541.26217252</v>
      </c>
      <c r="S57" s="29" t="n">
        <f aca="false">IF(S56&gt;0,S56,IF(R57&gt;=0,A57,0))</f>
        <v>39</v>
      </c>
    </row>
    <row r="58" customFormat="false" ht="15.75" hidden="false" customHeight="true" outlineLevel="0" collapsed="false">
      <c r="A58" s="29" t="n">
        <v>47</v>
      </c>
      <c r="B58" s="29" t="n">
        <f aca="false">INT((A58-1)/12)+1</f>
        <v>4</v>
      </c>
      <c r="C58" s="29" t="n">
        <f aca="false">MOD(A58-1,12)+1</f>
        <v>11</v>
      </c>
      <c r="D58" s="41" t="n">
        <f aca="false" t="array" ref="D58:D58">IF(B58=1,INDEX(CALC_MONTHLY!$B$66:$M$66,C58),INDEX(CALC_PL!$B$19:$F$19,B58)/12)</f>
        <v>874842.10402</v>
      </c>
      <c r="E58" s="41" t="n">
        <f aca="false" t="array" ref="E58:E58">IF(B58=1,INDEX(CALC_MONTHLY!$B$7:$M$7,C58)*CALC_PL!$B$11+INDEX(CALC_MONTHLY!$B$8:$M$8,C58)*CALC_PL!$B$12,INDEX(CALC_PL!$B$24:$F$24,B58)/12)</f>
        <v>259401.939205333</v>
      </c>
      <c r="F58" s="41" t="n">
        <f aca="false" t="array" ref="F58:F58">INDEX(CALC_PL!$B$40:$F$40,B58)/12</f>
        <v>323370.496536876</v>
      </c>
      <c r="G58" s="31" t="n">
        <f aca="false">D58-E58-F58</f>
        <v>292069.668277791</v>
      </c>
      <c r="H58" s="31" t="n">
        <f aca="false">D58*$B$5/30</f>
        <v>1020649.12135667</v>
      </c>
      <c r="I58" s="31" t="n">
        <f aca="false">H58-H57</f>
        <v>0</v>
      </c>
      <c r="J58" s="31" t="n">
        <f aca="false">E58*$B$6/30</f>
        <v>518803.878410667</v>
      </c>
      <c r="K58" s="31" t="n">
        <f aca="false">J58-J57</f>
        <v>0</v>
      </c>
      <c r="L58" s="31" t="n">
        <f aca="false">E58*$B$7/30</f>
        <v>259401.939205333</v>
      </c>
      <c r="M58" s="31" t="n">
        <f aca="false">L58-L57</f>
        <v>0</v>
      </c>
      <c r="N58" s="31" t="n">
        <f aca="false">G58-I58-K58+M58</f>
        <v>292069.668277791</v>
      </c>
      <c r="O58" s="31" t="n">
        <f aca="false">P57</f>
        <v>3158990.20161052</v>
      </c>
      <c r="P58" s="50" t="n">
        <f aca="false">O58+N58</f>
        <v>3451059.86988831</v>
      </c>
      <c r="Q58" s="31" t="n">
        <f aca="false">MIN(Q57,P58)</f>
        <v>426439.947957376</v>
      </c>
      <c r="R58" s="31" t="n">
        <f aca="false">R57+G58</f>
        <v>2363610.93045031</v>
      </c>
      <c r="S58" s="29" t="n">
        <f aca="false">IF(S57&gt;0,S57,IF(R58&gt;=0,A58,0))</f>
        <v>39</v>
      </c>
    </row>
    <row r="59" customFormat="false" ht="15.75" hidden="false" customHeight="true" outlineLevel="0" collapsed="false">
      <c r="A59" s="53" t="n">
        <v>48</v>
      </c>
      <c r="B59" s="53" t="n">
        <f aca="false">INT((A59-1)/12)+1</f>
        <v>4</v>
      </c>
      <c r="C59" s="53" t="n">
        <f aca="false">MOD(A59-1,12)+1</f>
        <v>12</v>
      </c>
      <c r="D59" s="54" t="n">
        <f aca="false" t="array" ref="D59:D59">IF(B59=1,INDEX(CALC_MONTHLY!$B$66:$M$66,C59),INDEX(CALC_PL!$B$19:$F$19,B59)/12)</f>
        <v>874842.10402</v>
      </c>
      <c r="E59" s="54" t="n">
        <f aca="false" t="array" ref="E59:E59">IF(B59=1,INDEX(CALC_MONTHLY!$B$7:$M$7,C59)*CALC_PL!$B$11+INDEX(CALC_MONTHLY!$B$8:$M$8,C59)*CALC_PL!$B$12,INDEX(CALC_PL!$B$24:$F$24,B59)/12)</f>
        <v>259401.939205333</v>
      </c>
      <c r="F59" s="54" t="n">
        <f aca="false" t="array" ref="F59:F59">INDEX(CALC_PL!$B$40:$F$40,B59)/12</f>
        <v>323370.496536876</v>
      </c>
      <c r="G59" s="55" t="n">
        <f aca="false">D59-E59-F59</f>
        <v>292069.668277791</v>
      </c>
      <c r="H59" s="55" t="n">
        <f aca="false">D59*$B$5/30</f>
        <v>1020649.12135667</v>
      </c>
      <c r="I59" s="55" t="n">
        <f aca="false">H59-H58</f>
        <v>0</v>
      </c>
      <c r="J59" s="55" t="n">
        <f aca="false">E59*$B$6/30</f>
        <v>518803.878410667</v>
      </c>
      <c r="K59" s="55" t="n">
        <f aca="false">J59-J58</f>
        <v>0</v>
      </c>
      <c r="L59" s="55" t="n">
        <f aca="false">E59*$B$7/30</f>
        <v>259401.939205333</v>
      </c>
      <c r="M59" s="55" t="n">
        <f aca="false">L59-L58</f>
        <v>0</v>
      </c>
      <c r="N59" s="55" t="n">
        <f aca="false">G59-I59-K59+M59</f>
        <v>292069.668277791</v>
      </c>
      <c r="O59" s="55" t="n">
        <f aca="false">P58</f>
        <v>3451059.86988831</v>
      </c>
      <c r="P59" s="51" t="n">
        <f aca="false">O59+N59</f>
        <v>3743129.5381661</v>
      </c>
      <c r="Q59" s="55" t="n">
        <f aca="false">MIN(Q58,P59)</f>
        <v>426439.947957376</v>
      </c>
      <c r="R59" s="55" t="n">
        <f aca="false">R58+G59</f>
        <v>2655680.5987281</v>
      </c>
      <c r="S59" s="53" t="n">
        <f aca="false">IF(S58&gt;0,S58,IF(R59&gt;=0,A59,0))</f>
        <v>39</v>
      </c>
    </row>
    <row r="60" customFormat="false" ht="15.75" hidden="false" customHeight="true" outlineLevel="0" collapsed="false">
      <c r="A60" s="29" t="n">
        <v>49</v>
      </c>
      <c r="B60" s="29" t="n">
        <f aca="false">INT((A60-1)/12)+1</f>
        <v>5</v>
      </c>
      <c r="C60" s="29" t="n">
        <f aca="false">MOD(A60-1,12)+1</f>
        <v>1</v>
      </c>
      <c r="D60" s="41" t="n">
        <f aca="false" t="array" ref="D60:D60">IF(B60=1,INDEX(CALC_MONTHLY!$B$66:$M$66,C60),INDEX(CALC_PL!$B$19:$F$19,B60)/12)</f>
        <v>1833080.66834</v>
      </c>
      <c r="E60" s="41" t="n">
        <f aca="false" t="array" ref="E60:E60">IF(B60=1,INDEX(CALC_MONTHLY!$B$7:$M$7,C60)*CALC_PL!$B$11+INDEX(CALC_MONTHLY!$B$8:$M$8,C60)*CALC_PL!$B$12,INDEX(CALC_PL!$B$24:$F$24,B60)/12)</f>
        <v>523376.403931333</v>
      </c>
      <c r="F60" s="41" t="n">
        <f aca="false" t="array" ref="F60:F60">INDEX(CALC_PL!$B$40:$F$40,B60)/12</f>
        <v>486926.127168763</v>
      </c>
      <c r="G60" s="31" t="n">
        <f aca="false">D60-E60-F60</f>
        <v>822778.137239904</v>
      </c>
      <c r="H60" s="31" t="n">
        <f aca="false">D60*$B$5/30</f>
        <v>2138594.11306333</v>
      </c>
      <c r="I60" s="31" t="n">
        <f aca="false">H60-H59</f>
        <v>1117944.99170667</v>
      </c>
      <c r="J60" s="31" t="n">
        <f aca="false">E60*$B$6/30</f>
        <v>1046752.80786267</v>
      </c>
      <c r="K60" s="31" t="n">
        <f aca="false">J60-J59</f>
        <v>527948.929452</v>
      </c>
      <c r="L60" s="31" t="n">
        <f aca="false">E60*$B$7/30</f>
        <v>523376.403931333</v>
      </c>
      <c r="M60" s="31" t="n">
        <f aca="false">L60-L59</f>
        <v>263974.464726</v>
      </c>
      <c r="N60" s="31" t="n">
        <f aca="false">G60-I60-K60+M60</f>
        <v>-559141.319192763</v>
      </c>
      <c r="O60" s="31" t="n">
        <f aca="false">P59</f>
        <v>3743129.5381661</v>
      </c>
      <c r="P60" s="50" t="n">
        <f aca="false">O60+N60</f>
        <v>3183988.21897333</v>
      </c>
      <c r="Q60" s="31" t="n">
        <f aca="false">MIN(Q59,P60)</f>
        <v>426439.947957376</v>
      </c>
      <c r="R60" s="31" t="n">
        <f aca="false">R59+G60</f>
        <v>3478458.735968</v>
      </c>
      <c r="S60" s="29" t="n">
        <f aca="false">IF(S59&gt;0,S59,IF(R60&gt;=0,A60,0))</f>
        <v>39</v>
      </c>
    </row>
    <row r="61" customFormat="false" ht="15.75" hidden="false" customHeight="true" outlineLevel="0" collapsed="false">
      <c r="A61" s="29" t="n">
        <v>50</v>
      </c>
      <c r="B61" s="29" t="n">
        <f aca="false">INT((A61-1)/12)+1</f>
        <v>5</v>
      </c>
      <c r="C61" s="29" t="n">
        <f aca="false">MOD(A61-1,12)+1</f>
        <v>2</v>
      </c>
      <c r="D61" s="41" t="n">
        <f aca="false" t="array" ref="D61:D61">IF(B61=1,INDEX(CALC_MONTHLY!$B$66:$M$66,C61),INDEX(CALC_PL!$B$19:$F$19,B61)/12)</f>
        <v>1833080.66834</v>
      </c>
      <c r="E61" s="41" t="n">
        <f aca="false" t="array" ref="E61:E61">IF(B61=1,INDEX(CALC_MONTHLY!$B$7:$M$7,C61)*CALC_PL!$B$11+INDEX(CALC_MONTHLY!$B$8:$M$8,C61)*CALC_PL!$B$12,INDEX(CALC_PL!$B$24:$F$24,B61)/12)</f>
        <v>523376.403931333</v>
      </c>
      <c r="F61" s="41" t="n">
        <f aca="false" t="array" ref="F61:F61">INDEX(CALC_PL!$B$40:$F$40,B61)/12</f>
        <v>486926.127168763</v>
      </c>
      <c r="G61" s="31" t="n">
        <f aca="false">D61-E61-F61</f>
        <v>822778.137239904</v>
      </c>
      <c r="H61" s="31" t="n">
        <f aca="false">D61*$B$5/30</f>
        <v>2138594.11306333</v>
      </c>
      <c r="I61" s="31" t="n">
        <f aca="false">H61-H60</f>
        <v>0</v>
      </c>
      <c r="J61" s="31" t="n">
        <f aca="false">E61*$B$6/30</f>
        <v>1046752.80786267</v>
      </c>
      <c r="K61" s="31" t="n">
        <f aca="false">J61-J60</f>
        <v>0</v>
      </c>
      <c r="L61" s="31" t="n">
        <f aca="false">E61*$B$7/30</f>
        <v>523376.403931333</v>
      </c>
      <c r="M61" s="31" t="n">
        <f aca="false">L61-L60</f>
        <v>0</v>
      </c>
      <c r="N61" s="31" t="n">
        <f aca="false">G61-I61-K61+M61</f>
        <v>822778.137239904</v>
      </c>
      <c r="O61" s="31" t="n">
        <f aca="false">P60</f>
        <v>3183988.21897333</v>
      </c>
      <c r="P61" s="50" t="n">
        <f aca="false">O61+N61</f>
        <v>4006766.35621324</v>
      </c>
      <c r="Q61" s="31" t="n">
        <f aca="false">MIN(Q60,P61)</f>
        <v>426439.947957376</v>
      </c>
      <c r="R61" s="31" t="n">
        <f aca="false">R60+G61</f>
        <v>4301236.8732079</v>
      </c>
      <c r="S61" s="29" t="n">
        <f aca="false">IF(S60&gt;0,S60,IF(R61&gt;=0,A61,0))</f>
        <v>39</v>
      </c>
    </row>
    <row r="62" customFormat="false" ht="15.75" hidden="false" customHeight="true" outlineLevel="0" collapsed="false">
      <c r="A62" s="29" t="n">
        <v>51</v>
      </c>
      <c r="B62" s="29" t="n">
        <f aca="false">INT((A62-1)/12)+1</f>
        <v>5</v>
      </c>
      <c r="C62" s="29" t="n">
        <f aca="false">MOD(A62-1,12)+1</f>
        <v>3</v>
      </c>
      <c r="D62" s="41" t="n">
        <f aca="false" t="array" ref="D62:D62">IF(B62=1,INDEX(CALC_MONTHLY!$B$66:$M$66,C62),INDEX(CALC_PL!$B$19:$F$19,B62)/12)</f>
        <v>1833080.66834</v>
      </c>
      <c r="E62" s="41" t="n">
        <f aca="false" t="array" ref="E62:E62">IF(B62=1,INDEX(CALC_MONTHLY!$B$7:$M$7,C62)*CALC_PL!$B$11+INDEX(CALC_MONTHLY!$B$8:$M$8,C62)*CALC_PL!$B$12,INDEX(CALC_PL!$B$24:$F$24,B62)/12)</f>
        <v>523376.403931333</v>
      </c>
      <c r="F62" s="41" t="n">
        <f aca="false" t="array" ref="F62:F62">INDEX(CALC_PL!$B$40:$F$40,B62)/12</f>
        <v>486926.127168763</v>
      </c>
      <c r="G62" s="31" t="n">
        <f aca="false">D62-E62-F62</f>
        <v>822778.137239904</v>
      </c>
      <c r="H62" s="31" t="n">
        <f aca="false">D62*$B$5/30</f>
        <v>2138594.11306333</v>
      </c>
      <c r="I62" s="31" t="n">
        <f aca="false">H62-H61</f>
        <v>0</v>
      </c>
      <c r="J62" s="31" t="n">
        <f aca="false">E62*$B$6/30</f>
        <v>1046752.80786267</v>
      </c>
      <c r="K62" s="31" t="n">
        <f aca="false">J62-J61</f>
        <v>0</v>
      </c>
      <c r="L62" s="31" t="n">
        <f aca="false">E62*$B$7/30</f>
        <v>523376.403931333</v>
      </c>
      <c r="M62" s="31" t="n">
        <f aca="false">L62-L61</f>
        <v>0</v>
      </c>
      <c r="N62" s="31" t="n">
        <f aca="false">G62-I62-K62+M62</f>
        <v>822778.137239904</v>
      </c>
      <c r="O62" s="31" t="n">
        <f aca="false">P61</f>
        <v>4006766.35621324</v>
      </c>
      <c r="P62" s="50" t="n">
        <f aca="false">O62+N62</f>
        <v>4829544.49345314</v>
      </c>
      <c r="Q62" s="31" t="n">
        <f aca="false">MIN(Q61,P62)</f>
        <v>426439.947957376</v>
      </c>
      <c r="R62" s="31" t="n">
        <f aca="false">R61+G62</f>
        <v>5124015.01044781</v>
      </c>
      <c r="S62" s="29" t="n">
        <f aca="false">IF(S61&gt;0,S61,IF(R62&gt;=0,A62,0))</f>
        <v>39</v>
      </c>
    </row>
    <row r="63" customFormat="false" ht="15.75" hidden="false" customHeight="true" outlineLevel="0" collapsed="false">
      <c r="A63" s="29" t="n">
        <v>52</v>
      </c>
      <c r="B63" s="29" t="n">
        <f aca="false">INT((A63-1)/12)+1</f>
        <v>5</v>
      </c>
      <c r="C63" s="29" t="n">
        <f aca="false">MOD(A63-1,12)+1</f>
        <v>4</v>
      </c>
      <c r="D63" s="41" t="n">
        <f aca="false" t="array" ref="D63:D63">IF(B63=1,INDEX(CALC_MONTHLY!$B$66:$M$66,C63),INDEX(CALC_PL!$B$19:$F$19,B63)/12)</f>
        <v>1833080.66834</v>
      </c>
      <c r="E63" s="41" t="n">
        <f aca="false" t="array" ref="E63:E63">IF(B63=1,INDEX(CALC_MONTHLY!$B$7:$M$7,C63)*CALC_PL!$B$11+INDEX(CALC_MONTHLY!$B$8:$M$8,C63)*CALC_PL!$B$12,INDEX(CALC_PL!$B$24:$F$24,B63)/12)</f>
        <v>523376.403931333</v>
      </c>
      <c r="F63" s="41" t="n">
        <f aca="false" t="array" ref="F63:F63">INDEX(CALC_PL!$B$40:$F$40,B63)/12</f>
        <v>486926.127168763</v>
      </c>
      <c r="G63" s="31" t="n">
        <f aca="false">D63-E63-F63</f>
        <v>822778.137239904</v>
      </c>
      <c r="H63" s="31" t="n">
        <f aca="false">D63*$B$5/30</f>
        <v>2138594.11306333</v>
      </c>
      <c r="I63" s="31" t="n">
        <f aca="false">H63-H62</f>
        <v>0</v>
      </c>
      <c r="J63" s="31" t="n">
        <f aca="false">E63*$B$6/30</f>
        <v>1046752.80786267</v>
      </c>
      <c r="K63" s="31" t="n">
        <f aca="false">J63-J62</f>
        <v>0</v>
      </c>
      <c r="L63" s="31" t="n">
        <f aca="false">E63*$B$7/30</f>
        <v>523376.403931333</v>
      </c>
      <c r="M63" s="31" t="n">
        <f aca="false">L63-L62</f>
        <v>0</v>
      </c>
      <c r="N63" s="31" t="n">
        <f aca="false">G63-I63-K63+M63</f>
        <v>822778.137239904</v>
      </c>
      <c r="O63" s="31" t="n">
        <f aca="false">P62</f>
        <v>4829544.49345314</v>
      </c>
      <c r="P63" s="50" t="n">
        <f aca="false">O63+N63</f>
        <v>5652322.63069304</v>
      </c>
      <c r="Q63" s="31" t="n">
        <f aca="false">MIN(Q62,P63)</f>
        <v>426439.947957376</v>
      </c>
      <c r="R63" s="31" t="n">
        <f aca="false">R62+G63</f>
        <v>5946793.14768771</v>
      </c>
      <c r="S63" s="29" t="n">
        <f aca="false">IF(S62&gt;0,S62,IF(R63&gt;=0,A63,0))</f>
        <v>39</v>
      </c>
    </row>
    <row r="64" customFormat="false" ht="15.75" hidden="false" customHeight="true" outlineLevel="0" collapsed="false">
      <c r="A64" s="29" t="n">
        <v>53</v>
      </c>
      <c r="B64" s="29" t="n">
        <f aca="false">INT((A64-1)/12)+1</f>
        <v>5</v>
      </c>
      <c r="C64" s="29" t="n">
        <f aca="false">MOD(A64-1,12)+1</f>
        <v>5</v>
      </c>
      <c r="D64" s="41" t="n">
        <f aca="false" t="array" ref="D64:D64">IF(B64=1,INDEX(CALC_MONTHLY!$B$66:$M$66,C64),INDEX(CALC_PL!$B$19:$F$19,B64)/12)</f>
        <v>1833080.66834</v>
      </c>
      <c r="E64" s="41" t="n">
        <f aca="false" t="array" ref="E64:E64">IF(B64=1,INDEX(CALC_MONTHLY!$B$7:$M$7,C64)*CALC_PL!$B$11+INDEX(CALC_MONTHLY!$B$8:$M$8,C64)*CALC_PL!$B$12,INDEX(CALC_PL!$B$24:$F$24,B64)/12)</f>
        <v>523376.403931333</v>
      </c>
      <c r="F64" s="41" t="n">
        <f aca="false" t="array" ref="F64:F64">INDEX(CALC_PL!$B$40:$F$40,B64)/12</f>
        <v>486926.127168763</v>
      </c>
      <c r="G64" s="31" t="n">
        <f aca="false">D64-E64-F64</f>
        <v>822778.137239904</v>
      </c>
      <c r="H64" s="31" t="n">
        <f aca="false">D64*$B$5/30</f>
        <v>2138594.11306333</v>
      </c>
      <c r="I64" s="31" t="n">
        <f aca="false">H64-H63</f>
        <v>0</v>
      </c>
      <c r="J64" s="31" t="n">
        <f aca="false">E64*$B$6/30</f>
        <v>1046752.80786267</v>
      </c>
      <c r="K64" s="31" t="n">
        <f aca="false">J64-J63</f>
        <v>0</v>
      </c>
      <c r="L64" s="31" t="n">
        <f aca="false">E64*$B$7/30</f>
        <v>523376.403931333</v>
      </c>
      <c r="M64" s="31" t="n">
        <f aca="false">L64-L63</f>
        <v>0</v>
      </c>
      <c r="N64" s="31" t="n">
        <f aca="false">G64-I64-K64+M64</f>
        <v>822778.137239904</v>
      </c>
      <c r="O64" s="31" t="n">
        <f aca="false">P63</f>
        <v>5652322.63069304</v>
      </c>
      <c r="P64" s="50" t="n">
        <f aca="false">O64+N64</f>
        <v>6475100.76793295</v>
      </c>
      <c r="Q64" s="31" t="n">
        <f aca="false">MIN(Q63,P64)</f>
        <v>426439.947957376</v>
      </c>
      <c r="R64" s="31" t="n">
        <f aca="false">R63+G64</f>
        <v>6769571.28492761</v>
      </c>
      <c r="S64" s="29" t="n">
        <f aca="false">IF(S63&gt;0,S63,IF(R64&gt;=0,A64,0))</f>
        <v>39</v>
      </c>
    </row>
    <row r="65" customFormat="false" ht="15.75" hidden="false" customHeight="true" outlineLevel="0" collapsed="false">
      <c r="A65" s="29" t="n">
        <v>54</v>
      </c>
      <c r="B65" s="29" t="n">
        <f aca="false">INT((A65-1)/12)+1</f>
        <v>5</v>
      </c>
      <c r="C65" s="29" t="n">
        <f aca="false">MOD(A65-1,12)+1</f>
        <v>6</v>
      </c>
      <c r="D65" s="41" t="n">
        <f aca="false" t="array" ref="D65:D65">IF(B65=1,INDEX(CALC_MONTHLY!$B$66:$M$66,C65),INDEX(CALC_PL!$B$19:$F$19,B65)/12)</f>
        <v>1833080.66834</v>
      </c>
      <c r="E65" s="41" t="n">
        <f aca="false" t="array" ref="E65:E65">IF(B65=1,INDEX(CALC_MONTHLY!$B$7:$M$7,C65)*CALC_PL!$B$11+INDEX(CALC_MONTHLY!$B$8:$M$8,C65)*CALC_PL!$B$12,INDEX(CALC_PL!$B$24:$F$24,B65)/12)</f>
        <v>523376.403931333</v>
      </c>
      <c r="F65" s="41" t="n">
        <f aca="false" t="array" ref="F65:F65">INDEX(CALC_PL!$B$40:$F$40,B65)/12</f>
        <v>486926.127168763</v>
      </c>
      <c r="G65" s="31" t="n">
        <f aca="false">D65-E65-F65</f>
        <v>822778.137239904</v>
      </c>
      <c r="H65" s="31" t="n">
        <f aca="false">D65*$B$5/30</f>
        <v>2138594.11306333</v>
      </c>
      <c r="I65" s="31" t="n">
        <f aca="false">H65-H64</f>
        <v>0</v>
      </c>
      <c r="J65" s="31" t="n">
        <f aca="false">E65*$B$6/30</f>
        <v>1046752.80786267</v>
      </c>
      <c r="K65" s="31" t="n">
        <f aca="false">J65-J64</f>
        <v>0</v>
      </c>
      <c r="L65" s="31" t="n">
        <f aca="false">E65*$B$7/30</f>
        <v>523376.403931333</v>
      </c>
      <c r="M65" s="31" t="n">
        <f aca="false">L65-L64</f>
        <v>0</v>
      </c>
      <c r="N65" s="31" t="n">
        <f aca="false">G65-I65-K65+M65</f>
        <v>822778.137239904</v>
      </c>
      <c r="O65" s="31" t="n">
        <f aca="false">P64</f>
        <v>6475100.76793295</v>
      </c>
      <c r="P65" s="50" t="n">
        <f aca="false">O65+N65</f>
        <v>7297878.90517285</v>
      </c>
      <c r="Q65" s="31" t="n">
        <f aca="false">MIN(Q64,P65)</f>
        <v>426439.947957376</v>
      </c>
      <c r="R65" s="31" t="n">
        <f aca="false">R64+G65</f>
        <v>7592349.42216752</v>
      </c>
      <c r="S65" s="29" t="n">
        <f aca="false">IF(S64&gt;0,S64,IF(R65&gt;=0,A65,0))</f>
        <v>39</v>
      </c>
    </row>
    <row r="66" customFormat="false" ht="15.75" hidden="false" customHeight="true" outlineLevel="0" collapsed="false">
      <c r="A66" s="29" t="n">
        <v>55</v>
      </c>
      <c r="B66" s="29" t="n">
        <f aca="false">INT((A66-1)/12)+1</f>
        <v>5</v>
      </c>
      <c r="C66" s="29" t="n">
        <f aca="false">MOD(A66-1,12)+1</f>
        <v>7</v>
      </c>
      <c r="D66" s="41" t="n">
        <f aca="false" t="array" ref="D66:D66">IF(B66=1,INDEX(CALC_MONTHLY!$B$66:$M$66,C66),INDEX(CALC_PL!$B$19:$F$19,B66)/12)</f>
        <v>1833080.66834</v>
      </c>
      <c r="E66" s="41" t="n">
        <f aca="false" t="array" ref="E66:E66">IF(B66=1,INDEX(CALC_MONTHLY!$B$7:$M$7,C66)*CALC_PL!$B$11+INDEX(CALC_MONTHLY!$B$8:$M$8,C66)*CALC_PL!$B$12,INDEX(CALC_PL!$B$24:$F$24,B66)/12)</f>
        <v>523376.403931333</v>
      </c>
      <c r="F66" s="41" t="n">
        <f aca="false" t="array" ref="F66:F66">INDEX(CALC_PL!$B$40:$F$40,B66)/12</f>
        <v>486926.127168763</v>
      </c>
      <c r="G66" s="31" t="n">
        <f aca="false">D66-E66-F66</f>
        <v>822778.137239904</v>
      </c>
      <c r="H66" s="31" t="n">
        <f aca="false">D66*$B$5/30</f>
        <v>2138594.11306333</v>
      </c>
      <c r="I66" s="31" t="n">
        <f aca="false">H66-H65</f>
        <v>0</v>
      </c>
      <c r="J66" s="31" t="n">
        <f aca="false">E66*$B$6/30</f>
        <v>1046752.80786267</v>
      </c>
      <c r="K66" s="31" t="n">
        <f aca="false">J66-J65</f>
        <v>0</v>
      </c>
      <c r="L66" s="31" t="n">
        <f aca="false">E66*$B$7/30</f>
        <v>523376.403931333</v>
      </c>
      <c r="M66" s="31" t="n">
        <f aca="false">L66-L65</f>
        <v>0</v>
      </c>
      <c r="N66" s="31" t="n">
        <f aca="false">G66-I66-K66+M66</f>
        <v>822778.137239904</v>
      </c>
      <c r="O66" s="31" t="n">
        <f aca="false">P65</f>
        <v>7297878.90517285</v>
      </c>
      <c r="P66" s="50" t="n">
        <f aca="false">O66+N66</f>
        <v>8120657.04241275</v>
      </c>
      <c r="Q66" s="31" t="n">
        <f aca="false">MIN(Q65,P66)</f>
        <v>426439.947957376</v>
      </c>
      <c r="R66" s="31" t="n">
        <f aca="false">R65+G66</f>
        <v>8415127.55940742</v>
      </c>
      <c r="S66" s="29" t="n">
        <f aca="false">IF(S65&gt;0,S65,IF(R66&gt;=0,A66,0))</f>
        <v>39</v>
      </c>
    </row>
    <row r="67" customFormat="false" ht="15.75" hidden="false" customHeight="true" outlineLevel="0" collapsed="false">
      <c r="A67" s="29" t="n">
        <v>56</v>
      </c>
      <c r="B67" s="29" t="n">
        <f aca="false">INT((A67-1)/12)+1</f>
        <v>5</v>
      </c>
      <c r="C67" s="29" t="n">
        <f aca="false">MOD(A67-1,12)+1</f>
        <v>8</v>
      </c>
      <c r="D67" s="41" t="n">
        <f aca="false" t="array" ref="D67:D67">IF(B67=1,INDEX(CALC_MONTHLY!$B$66:$M$66,C67),INDEX(CALC_PL!$B$19:$F$19,B67)/12)</f>
        <v>1833080.66834</v>
      </c>
      <c r="E67" s="41" t="n">
        <f aca="false" t="array" ref="E67:E67">IF(B67=1,INDEX(CALC_MONTHLY!$B$7:$M$7,C67)*CALC_PL!$B$11+INDEX(CALC_MONTHLY!$B$8:$M$8,C67)*CALC_PL!$B$12,INDEX(CALC_PL!$B$24:$F$24,B67)/12)</f>
        <v>523376.403931333</v>
      </c>
      <c r="F67" s="41" t="n">
        <f aca="false" t="array" ref="F67:F67">INDEX(CALC_PL!$B$40:$F$40,B67)/12</f>
        <v>486926.127168763</v>
      </c>
      <c r="G67" s="31" t="n">
        <f aca="false">D67-E67-F67</f>
        <v>822778.137239904</v>
      </c>
      <c r="H67" s="31" t="n">
        <f aca="false">D67*$B$5/30</f>
        <v>2138594.11306333</v>
      </c>
      <c r="I67" s="31" t="n">
        <f aca="false">H67-H66</f>
        <v>0</v>
      </c>
      <c r="J67" s="31" t="n">
        <f aca="false">E67*$B$6/30</f>
        <v>1046752.80786267</v>
      </c>
      <c r="K67" s="31" t="n">
        <f aca="false">J67-J66</f>
        <v>0</v>
      </c>
      <c r="L67" s="31" t="n">
        <f aca="false">E67*$B$7/30</f>
        <v>523376.403931333</v>
      </c>
      <c r="M67" s="31" t="n">
        <f aca="false">L67-L66</f>
        <v>0</v>
      </c>
      <c r="N67" s="31" t="n">
        <f aca="false">G67-I67-K67+M67</f>
        <v>822778.137239904</v>
      </c>
      <c r="O67" s="31" t="n">
        <f aca="false">P66</f>
        <v>8120657.04241275</v>
      </c>
      <c r="P67" s="50" t="n">
        <f aca="false">O67+N67</f>
        <v>8943435.17965266</v>
      </c>
      <c r="Q67" s="31" t="n">
        <f aca="false">MIN(Q66,P67)</f>
        <v>426439.947957376</v>
      </c>
      <c r="R67" s="31" t="n">
        <f aca="false">R66+G67</f>
        <v>9237905.69664732</v>
      </c>
      <c r="S67" s="29" t="n">
        <f aca="false">IF(S66&gt;0,S66,IF(R67&gt;=0,A67,0))</f>
        <v>39</v>
      </c>
    </row>
    <row r="68" customFormat="false" ht="15.75" hidden="false" customHeight="true" outlineLevel="0" collapsed="false">
      <c r="A68" s="29" t="n">
        <v>57</v>
      </c>
      <c r="B68" s="29" t="n">
        <f aca="false">INT((A68-1)/12)+1</f>
        <v>5</v>
      </c>
      <c r="C68" s="29" t="n">
        <f aca="false">MOD(A68-1,12)+1</f>
        <v>9</v>
      </c>
      <c r="D68" s="41" t="n">
        <f aca="false" t="array" ref="D68:D68">IF(B68=1,INDEX(CALC_MONTHLY!$B$66:$M$66,C68),INDEX(CALC_PL!$B$19:$F$19,B68)/12)</f>
        <v>1833080.66834</v>
      </c>
      <c r="E68" s="41" t="n">
        <f aca="false" t="array" ref="E68:E68">IF(B68=1,INDEX(CALC_MONTHLY!$B$7:$M$7,C68)*CALC_PL!$B$11+INDEX(CALC_MONTHLY!$B$8:$M$8,C68)*CALC_PL!$B$12,INDEX(CALC_PL!$B$24:$F$24,B68)/12)</f>
        <v>523376.403931333</v>
      </c>
      <c r="F68" s="41" t="n">
        <f aca="false" t="array" ref="F68:F68">INDEX(CALC_PL!$B$40:$F$40,B68)/12</f>
        <v>486926.127168763</v>
      </c>
      <c r="G68" s="31" t="n">
        <f aca="false">D68-E68-F68</f>
        <v>822778.137239904</v>
      </c>
      <c r="H68" s="31" t="n">
        <f aca="false">D68*$B$5/30</f>
        <v>2138594.11306333</v>
      </c>
      <c r="I68" s="31" t="n">
        <f aca="false">H68-H67</f>
        <v>0</v>
      </c>
      <c r="J68" s="31" t="n">
        <f aca="false">E68*$B$6/30</f>
        <v>1046752.80786267</v>
      </c>
      <c r="K68" s="31" t="n">
        <f aca="false">J68-J67</f>
        <v>0</v>
      </c>
      <c r="L68" s="31" t="n">
        <f aca="false">E68*$B$7/30</f>
        <v>523376.403931333</v>
      </c>
      <c r="M68" s="31" t="n">
        <f aca="false">L68-L67</f>
        <v>0</v>
      </c>
      <c r="N68" s="31" t="n">
        <f aca="false">G68-I68-K68+M68</f>
        <v>822778.137239904</v>
      </c>
      <c r="O68" s="31" t="n">
        <f aca="false">P67</f>
        <v>8943435.17965266</v>
      </c>
      <c r="P68" s="50" t="n">
        <f aca="false">O68+N68</f>
        <v>9766213.31689256</v>
      </c>
      <c r="Q68" s="31" t="n">
        <f aca="false">MIN(Q67,P68)</f>
        <v>426439.947957376</v>
      </c>
      <c r="R68" s="31" t="n">
        <f aca="false">R67+G68</f>
        <v>10060683.8338872</v>
      </c>
      <c r="S68" s="29" t="n">
        <f aca="false">IF(S67&gt;0,S67,IF(R68&gt;=0,A68,0))</f>
        <v>39</v>
      </c>
    </row>
    <row r="69" customFormat="false" ht="15.75" hidden="false" customHeight="true" outlineLevel="0" collapsed="false">
      <c r="A69" s="29" t="n">
        <v>58</v>
      </c>
      <c r="B69" s="29" t="n">
        <f aca="false">INT((A69-1)/12)+1</f>
        <v>5</v>
      </c>
      <c r="C69" s="29" t="n">
        <f aca="false">MOD(A69-1,12)+1</f>
        <v>10</v>
      </c>
      <c r="D69" s="41" t="n">
        <f aca="false" t="array" ref="D69:D69">IF(B69=1,INDEX(CALC_MONTHLY!$B$66:$M$66,C69),INDEX(CALC_PL!$B$19:$F$19,B69)/12)</f>
        <v>1833080.66834</v>
      </c>
      <c r="E69" s="41" t="n">
        <f aca="false" t="array" ref="E69:E69">IF(B69=1,INDEX(CALC_MONTHLY!$B$7:$M$7,C69)*CALC_PL!$B$11+INDEX(CALC_MONTHLY!$B$8:$M$8,C69)*CALC_PL!$B$12,INDEX(CALC_PL!$B$24:$F$24,B69)/12)</f>
        <v>523376.403931333</v>
      </c>
      <c r="F69" s="41" t="n">
        <f aca="false" t="array" ref="F69:F69">INDEX(CALC_PL!$B$40:$F$40,B69)/12</f>
        <v>486926.127168763</v>
      </c>
      <c r="G69" s="31" t="n">
        <f aca="false">D69-E69-F69</f>
        <v>822778.137239904</v>
      </c>
      <c r="H69" s="31" t="n">
        <f aca="false">D69*$B$5/30</f>
        <v>2138594.11306333</v>
      </c>
      <c r="I69" s="31" t="n">
        <f aca="false">H69-H68</f>
        <v>0</v>
      </c>
      <c r="J69" s="31" t="n">
        <f aca="false">E69*$B$6/30</f>
        <v>1046752.80786267</v>
      </c>
      <c r="K69" s="31" t="n">
        <f aca="false">J69-J68</f>
        <v>0</v>
      </c>
      <c r="L69" s="31" t="n">
        <f aca="false">E69*$B$7/30</f>
        <v>523376.403931333</v>
      </c>
      <c r="M69" s="31" t="n">
        <f aca="false">L69-L68</f>
        <v>0</v>
      </c>
      <c r="N69" s="31" t="n">
        <f aca="false">G69-I69-K69+M69</f>
        <v>822778.137239904</v>
      </c>
      <c r="O69" s="31" t="n">
        <f aca="false">P68</f>
        <v>9766213.31689256</v>
      </c>
      <c r="P69" s="50" t="n">
        <f aca="false">O69+N69</f>
        <v>10588991.4541325</v>
      </c>
      <c r="Q69" s="31" t="n">
        <f aca="false">MIN(Q68,P69)</f>
        <v>426439.947957376</v>
      </c>
      <c r="R69" s="31" t="n">
        <f aca="false">R68+G69</f>
        <v>10883461.9711271</v>
      </c>
      <c r="S69" s="29" t="n">
        <f aca="false">IF(S68&gt;0,S68,IF(R69&gt;=0,A69,0))</f>
        <v>39</v>
      </c>
    </row>
    <row r="70" customFormat="false" ht="15.75" hidden="false" customHeight="true" outlineLevel="0" collapsed="false">
      <c r="A70" s="29" t="n">
        <v>59</v>
      </c>
      <c r="B70" s="29" t="n">
        <f aca="false">INT((A70-1)/12)+1</f>
        <v>5</v>
      </c>
      <c r="C70" s="29" t="n">
        <f aca="false">MOD(A70-1,12)+1</f>
        <v>11</v>
      </c>
      <c r="D70" s="41" t="n">
        <f aca="false" t="array" ref="D70:D70">IF(B70=1,INDEX(CALC_MONTHLY!$B$66:$M$66,C70),INDEX(CALC_PL!$B$19:$F$19,B70)/12)</f>
        <v>1833080.66834</v>
      </c>
      <c r="E70" s="41" t="n">
        <f aca="false" t="array" ref="E70:E70">IF(B70=1,INDEX(CALC_MONTHLY!$B$7:$M$7,C70)*CALC_PL!$B$11+INDEX(CALC_MONTHLY!$B$8:$M$8,C70)*CALC_PL!$B$12,INDEX(CALC_PL!$B$24:$F$24,B70)/12)</f>
        <v>523376.403931333</v>
      </c>
      <c r="F70" s="41" t="n">
        <f aca="false" t="array" ref="F70:F70">INDEX(CALC_PL!$B$40:$F$40,B70)/12</f>
        <v>486926.127168763</v>
      </c>
      <c r="G70" s="31" t="n">
        <f aca="false">D70-E70-F70</f>
        <v>822778.137239904</v>
      </c>
      <c r="H70" s="31" t="n">
        <f aca="false">D70*$B$5/30</f>
        <v>2138594.11306333</v>
      </c>
      <c r="I70" s="31" t="n">
        <f aca="false">H70-H69</f>
        <v>0</v>
      </c>
      <c r="J70" s="31" t="n">
        <f aca="false">E70*$B$6/30</f>
        <v>1046752.80786267</v>
      </c>
      <c r="K70" s="31" t="n">
        <f aca="false">J70-J69</f>
        <v>0</v>
      </c>
      <c r="L70" s="31" t="n">
        <f aca="false">E70*$B$7/30</f>
        <v>523376.403931333</v>
      </c>
      <c r="M70" s="31" t="n">
        <f aca="false">L70-L69</f>
        <v>0</v>
      </c>
      <c r="N70" s="31" t="n">
        <f aca="false">G70-I70-K70+M70</f>
        <v>822778.137239904</v>
      </c>
      <c r="O70" s="31" t="n">
        <f aca="false">P69</f>
        <v>10588991.4541325</v>
      </c>
      <c r="P70" s="50" t="n">
        <f aca="false">O70+N70</f>
        <v>11411769.5913724</v>
      </c>
      <c r="Q70" s="31" t="n">
        <f aca="false">MIN(Q69,P70)</f>
        <v>426439.947957376</v>
      </c>
      <c r="R70" s="31" t="n">
        <f aca="false">R69+G70</f>
        <v>11706240.108367</v>
      </c>
      <c r="S70" s="29" t="n">
        <f aca="false">IF(S69&gt;0,S69,IF(R70&gt;=0,A70,0))</f>
        <v>39</v>
      </c>
    </row>
    <row r="71" customFormat="false" ht="15.75" hidden="false" customHeight="true" outlineLevel="0" collapsed="false">
      <c r="A71" s="53" t="n">
        <v>60</v>
      </c>
      <c r="B71" s="53" t="n">
        <f aca="false">INT((A71-1)/12)+1</f>
        <v>5</v>
      </c>
      <c r="C71" s="53" t="n">
        <f aca="false">MOD(A71-1,12)+1</f>
        <v>12</v>
      </c>
      <c r="D71" s="54" t="n">
        <f aca="false" t="array" ref="D71:D71">IF(B71=1,INDEX(CALC_MONTHLY!$B$66:$M$66,C71),INDEX(CALC_PL!$B$19:$F$19,B71)/12)</f>
        <v>1833080.66834</v>
      </c>
      <c r="E71" s="54" t="n">
        <f aca="false" t="array" ref="E71:E71">IF(B71=1,INDEX(CALC_MONTHLY!$B$7:$M$7,C71)*CALC_PL!$B$11+INDEX(CALC_MONTHLY!$B$8:$M$8,C71)*CALC_PL!$B$12,INDEX(CALC_PL!$B$24:$F$24,B71)/12)</f>
        <v>523376.403931333</v>
      </c>
      <c r="F71" s="54" t="n">
        <f aca="false" t="array" ref="F71:F71">INDEX(CALC_PL!$B$40:$F$40,B71)/12</f>
        <v>486926.127168763</v>
      </c>
      <c r="G71" s="55" t="n">
        <f aca="false">D71-E71-F71</f>
        <v>822778.137239904</v>
      </c>
      <c r="H71" s="55" t="n">
        <f aca="false">D71*$B$5/30</f>
        <v>2138594.11306333</v>
      </c>
      <c r="I71" s="55" t="n">
        <f aca="false">H71-H70</f>
        <v>0</v>
      </c>
      <c r="J71" s="55" t="n">
        <f aca="false">E71*$B$6/30</f>
        <v>1046752.80786267</v>
      </c>
      <c r="K71" s="55" t="n">
        <f aca="false">J71-J70</f>
        <v>0</v>
      </c>
      <c r="L71" s="55" t="n">
        <f aca="false">E71*$B$7/30</f>
        <v>523376.403931333</v>
      </c>
      <c r="M71" s="55" t="n">
        <f aca="false">L71-L70</f>
        <v>0</v>
      </c>
      <c r="N71" s="55" t="n">
        <f aca="false">G71-I71-K71+M71</f>
        <v>822778.137239904</v>
      </c>
      <c r="O71" s="55" t="n">
        <f aca="false">P70</f>
        <v>11411769.5913724</v>
      </c>
      <c r="P71" s="51" t="n">
        <f aca="false">O71+N71</f>
        <v>12234547.7286123</v>
      </c>
      <c r="Q71" s="55" t="n">
        <f aca="false">MIN(Q70,P71)</f>
        <v>426439.947957376</v>
      </c>
      <c r="R71" s="55" t="n">
        <f aca="false">R70+G71</f>
        <v>12529018.2456069</v>
      </c>
      <c r="S71" s="53" t="n">
        <f aca="false">IF(S70&gt;0,S70,IF(R71&gt;=0,A71,0))</f>
        <v>39</v>
      </c>
    </row>
    <row r="72" customFormat="false" ht="15.75" hidden="false" customHeight="true" outlineLevel="0" collapsed="false"/>
    <row r="73" customFormat="false" ht="18" hidden="false" customHeight="true" outlineLevel="0" collapsed="false">
      <c r="A73" s="6" t="s">
        <v>420</v>
      </c>
      <c r="B73" s="7"/>
      <c r="C73" s="7"/>
      <c r="D73" s="7"/>
      <c r="E73" s="7"/>
      <c r="F73" s="7"/>
      <c r="G73" s="7"/>
      <c r="H73" s="7"/>
    </row>
    <row r="74" customFormat="false" ht="15.75" hidden="false" customHeight="true" outlineLevel="0" collapsed="false">
      <c r="A74" s="17" t="s">
        <v>421</v>
      </c>
      <c r="B74" s="50" t="n">
        <f aca="false">MIN(P12:P71)</f>
        <v>426439.947957376</v>
      </c>
    </row>
    <row r="75" customFormat="false" ht="15.75" hidden="false" customHeight="true" outlineLevel="0" collapsed="false">
      <c r="A75" s="9" t="s">
        <v>422</v>
      </c>
      <c r="B75" s="29" t="n">
        <f aca="false">MATCH(MIN(P12:P71),P12:P71,0)</f>
        <v>25</v>
      </c>
    </row>
    <row r="76" customFormat="false" ht="15.75" hidden="false" customHeight="true" outlineLevel="0" collapsed="false">
      <c r="A76" s="9" t="s">
        <v>423</v>
      </c>
      <c r="B76" s="31" t="n">
        <f aca="false">P71</f>
        <v>12234547.7286123</v>
      </c>
    </row>
    <row r="77" customFormat="false" ht="15.75" hidden="false" customHeight="true" outlineLevel="0" collapsed="false">
      <c r="A77" s="9" t="s">
        <v>424</v>
      </c>
      <c r="B77" s="31" t="n">
        <f aca="false">MIN(P12:P23)</f>
        <v>1668167.60187441</v>
      </c>
      <c r="C77" s="11" t="s">
        <v>425</v>
      </c>
    </row>
    <row r="78" customFormat="false" ht="15.75" hidden="false" customHeight="true" outlineLevel="0" collapsed="false">
      <c r="A78" s="17" t="s">
        <v>426</v>
      </c>
      <c r="B78" s="31" t="n">
        <f aca="false">MIN(P24:P35)</f>
        <v>770957.270624685</v>
      </c>
      <c r="C78" s="11" t="s">
        <v>427</v>
      </c>
    </row>
    <row r="79" customFormat="false" ht="15.75" hidden="false" customHeight="true" outlineLevel="0" collapsed="false">
      <c r="A79" s="17" t="s">
        <v>428</v>
      </c>
      <c r="B79" s="31" t="n">
        <f aca="false">B9+MAX(0,-MIN(P12:P71))</f>
        <v>232500</v>
      </c>
      <c r="C79" s="11" t="s">
        <v>429</v>
      </c>
    </row>
    <row r="80" customFormat="false" ht="15.75" hidden="false" customHeight="true" outlineLevel="0" collapsed="false">
      <c r="A80" s="17" t="s">
        <v>430</v>
      </c>
      <c r="B80" s="29" t="n">
        <f aca="false">IF(S71&gt;0,S71,"None in 60 mo")</f>
        <v>39</v>
      </c>
      <c r="C80" s="11" t="s">
        <v>431</v>
      </c>
    </row>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1" width="44"/>
    <col collapsed="false" customWidth="true" hidden="false" outlineLevel="0" max="3" min="2" style="1" width="16"/>
    <col collapsed="false" customWidth="true" hidden="false" outlineLevel="0" max="4" min="4" style="1" width="9"/>
    <col collapsed="false" customWidth="true" hidden="false" outlineLevel="0" max="5" min="5" style="1" width="24"/>
    <col collapsed="false" customWidth="true" hidden="false" outlineLevel="0" max="6" min="6" style="1" width="56"/>
    <col collapsed="false" customWidth="true" hidden="false" outlineLevel="0" max="26" min="7" style="1" width="8.71"/>
  </cols>
  <sheetData>
    <row r="1" customFormat="false" ht="21.75" hidden="false" customHeight="true" outlineLevel="0" collapsed="false">
      <c r="A1" s="2" t="s">
        <v>432</v>
      </c>
    </row>
    <row r="2" customFormat="false" ht="42.75" hidden="false" customHeight="true" outlineLevel="0" collapsed="false">
      <c r="A2" s="11" t="s">
        <v>433</v>
      </c>
    </row>
    <row r="4" customFormat="false" ht="15" hidden="false" customHeight="true" outlineLevel="0" collapsed="false">
      <c r="A4" s="8" t="s">
        <v>434</v>
      </c>
      <c r="B4" s="8" t="s">
        <v>435</v>
      </c>
      <c r="C4" s="8" t="s">
        <v>436</v>
      </c>
      <c r="D4" s="8" t="s">
        <v>437</v>
      </c>
      <c r="E4" s="8" t="s">
        <v>438</v>
      </c>
      <c r="F4" s="8" t="s">
        <v>63</v>
      </c>
    </row>
    <row r="5" customFormat="false" ht="18" hidden="false" customHeight="true" outlineLevel="0" collapsed="false">
      <c r="A5" s="6" t="s">
        <v>439</v>
      </c>
      <c r="B5" s="7"/>
      <c r="C5" s="7"/>
      <c r="D5" s="7"/>
      <c r="E5" s="7"/>
      <c r="F5" s="7"/>
    </row>
    <row r="6" customFormat="false" ht="21.75" hidden="false" customHeight="true" outlineLevel="0" collapsed="false">
      <c r="A6" s="9" t="s">
        <v>440</v>
      </c>
      <c r="B6" s="56" t="s">
        <v>441</v>
      </c>
      <c r="C6" s="57" t="n">
        <f aca="false">CALC_PL!B19</f>
        <v>299174.253</v>
      </c>
      <c r="D6" s="58" t="s">
        <v>442</v>
      </c>
      <c r="E6" s="34" t="s">
        <v>443</v>
      </c>
      <c r="F6" s="11" t="s">
        <v>444</v>
      </c>
    </row>
    <row r="7" customFormat="false" ht="15" hidden="false" customHeight="true" outlineLevel="0" collapsed="false">
      <c r="A7" s="9" t="s">
        <v>445</v>
      </c>
      <c r="B7" s="56" t="s">
        <v>446</v>
      </c>
      <c r="C7" s="57" t="n">
        <f aca="false">CALC_PL!C19</f>
        <v>1247937.7934</v>
      </c>
      <c r="D7" s="58" t="s">
        <v>447</v>
      </c>
      <c r="E7" s="34" t="s">
        <v>448</v>
      </c>
      <c r="F7" s="11"/>
    </row>
    <row r="8" customFormat="false" ht="15" hidden="false" customHeight="true" outlineLevel="0" collapsed="false">
      <c r="A8" s="9" t="s">
        <v>449</v>
      </c>
      <c r="B8" s="56" t="s">
        <v>450</v>
      </c>
      <c r="C8" s="57" t="n">
        <f aca="false">CALC_PL!D19</f>
        <v>4495871.265</v>
      </c>
      <c r="D8" s="58" t="s">
        <v>447</v>
      </c>
      <c r="E8" s="34" t="s">
        <v>451</v>
      </c>
      <c r="F8" s="11"/>
    </row>
    <row r="9" customFormat="false" ht="15" hidden="false" customHeight="true" outlineLevel="0" collapsed="false">
      <c r="A9" s="9" t="s">
        <v>452</v>
      </c>
      <c r="B9" s="56" t="s">
        <v>453</v>
      </c>
      <c r="C9" s="57" t="n">
        <f aca="false">CALC_PL!E19</f>
        <v>10498105.24824</v>
      </c>
      <c r="D9" s="58" t="s">
        <v>447</v>
      </c>
      <c r="E9" s="34" t="s">
        <v>454</v>
      </c>
      <c r="F9" s="11"/>
    </row>
    <row r="10" customFormat="false" ht="15" hidden="false" customHeight="true" outlineLevel="0" collapsed="false">
      <c r="A10" s="9" t="s">
        <v>455</v>
      </c>
      <c r="B10" s="56" t="s">
        <v>456</v>
      </c>
      <c r="C10" s="57" t="n">
        <f aca="false">CALC_PL!F19</f>
        <v>21996968.02008</v>
      </c>
      <c r="D10" s="58" t="s">
        <v>447</v>
      </c>
      <c r="E10" s="34" t="s">
        <v>457</v>
      </c>
      <c r="F10" s="11"/>
    </row>
    <row r="11" customFormat="false" ht="15" hidden="false" customHeight="true" outlineLevel="0" collapsed="false">
      <c r="A11" s="9" t="s">
        <v>458</v>
      </c>
      <c r="B11" s="56" t="s">
        <v>459</v>
      </c>
      <c r="C11" s="57" t="n">
        <f aca="false">CALC_PL!G19</f>
        <v>38538056.57972</v>
      </c>
      <c r="D11" s="58" t="s">
        <v>447</v>
      </c>
      <c r="E11" s="34" t="s">
        <v>460</v>
      </c>
      <c r="F11" s="11"/>
    </row>
    <row r="12" customFormat="false" ht="18" hidden="false" customHeight="true" outlineLevel="0" collapsed="false">
      <c r="A12" s="6" t="s">
        <v>461</v>
      </c>
      <c r="B12" s="7"/>
      <c r="C12" s="7"/>
      <c r="D12" s="7"/>
      <c r="E12" s="7"/>
      <c r="F12" s="7"/>
    </row>
    <row r="13" customFormat="false" ht="15" hidden="false" customHeight="true" outlineLevel="0" collapsed="false">
      <c r="A13" s="9" t="s">
        <v>462</v>
      </c>
      <c r="B13" s="56" t="s">
        <v>463</v>
      </c>
      <c r="C13" s="57" t="n">
        <f aca="false">CALC_PL!B42</f>
        <v>-619452.198745585</v>
      </c>
      <c r="D13" s="58" t="s">
        <v>447</v>
      </c>
      <c r="E13" s="34" t="s">
        <v>464</v>
      </c>
      <c r="F13" s="11" t="s">
        <v>465</v>
      </c>
    </row>
    <row r="14" customFormat="false" ht="15" hidden="false" customHeight="true" outlineLevel="0" collapsed="false">
      <c r="A14" s="9" t="s">
        <v>466</v>
      </c>
      <c r="B14" s="56" t="s">
        <v>467</v>
      </c>
      <c r="C14" s="57" t="n">
        <f aca="false">CALC_PL!C42</f>
        <v>-793630.111821636</v>
      </c>
      <c r="D14" s="58" t="s">
        <v>447</v>
      </c>
      <c r="E14" s="34" t="s">
        <v>468</v>
      </c>
      <c r="F14" s="11"/>
    </row>
    <row r="15" customFormat="false" ht="15" hidden="false" customHeight="true" outlineLevel="0" collapsed="false">
      <c r="A15" s="9" t="s">
        <v>469</v>
      </c>
      <c r="B15" s="56" t="s">
        <v>470</v>
      </c>
      <c r="C15" s="57" t="n">
        <f aca="false">CALC_PL!D42</f>
        <v>582404.936961833</v>
      </c>
      <c r="D15" s="58" t="s">
        <v>447</v>
      </c>
      <c r="E15" s="34" t="s">
        <v>471</v>
      </c>
      <c r="F15" s="11" t="s">
        <v>472</v>
      </c>
    </row>
    <row r="16" customFormat="false" ht="15" hidden="false" customHeight="true" outlineLevel="0" collapsed="false">
      <c r="A16" s="9" t="s">
        <v>473</v>
      </c>
      <c r="B16" s="56" t="s">
        <v>474</v>
      </c>
      <c r="C16" s="57" t="n">
        <f aca="false">CALC_PL!E42</f>
        <v>3504836.01933349</v>
      </c>
      <c r="D16" s="58" t="s">
        <v>447</v>
      </c>
      <c r="E16" s="34" t="s">
        <v>475</v>
      </c>
      <c r="F16" s="11"/>
    </row>
    <row r="17" customFormat="false" ht="15" hidden="false" customHeight="true" outlineLevel="0" collapsed="false">
      <c r="A17" s="9" t="s">
        <v>476</v>
      </c>
      <c r="B17" s="56" t="s">
        <v>477</v>
      </c>
      <c r="C17" s="57" t="n">
        <f aca="false">CALC_PL!F42</f>
        <v>9873337.64687884</v>
      </c>
      <c r="D17" s="58" t="s">
        <v>447</v>
      </c>
      <c r="E17" s="34" t="s">
        <v>478</v>
      </c>
      <c r="F17" s="11"/>
    </row>
    <row r="18" customFormat="false" ht="15" hidden="false" customHeight="true" outlineLevel="0" collapsed="false">
      <c r="A18" s="9" t="s">
        <v>479</v>
      </c>
      <c r="B18" s="56" t="s">
        <v>480</v>
      </c>
      <c r="C18" s="57" t="n">
        <f aca="false">CALC_PL!G42</f>
        <v>12547496.2926069</v>
      </c>
      <c r="D18" s="58" t="s">
        <v>447</v>
      </c>
      <c r="E18" s="34" t="s">
        <v>481</v>
      </c>
      <c r="F18" s="11" t="s">
        <v>482</v>
      </c>
    </row>
    <row r="19" customFormat="false" ht="15" hidden="false" customHeight="true" outlineLevel="0" collapsed="false">
      <c r="A19" s="9" t="s">
        <v>483</v>
      </c>
      <c r="B19" s="56" t="s">
        <v>484</v>
      </c>
      <c r="C19" s="59" t="n">
        <f aca="false">CALC_PL!D26</f>
        <v>0.677210924729032</v>
      </c>
      <c r="D19" s="58" t="s">
        <v>447</v>
      </c>
      <c r="E19" s="34" t="s">
        <v>485</v>
      </c>
      <c r="F19" s="11"/>
    </row>
    <row r="20" customFormat="false" ht="15" hidden="false" customHeight="true" outlineLevel="0" collapsed="false">
      <c r="A20" s="9" t="s">
        <v>486</v>
      </c>
      <c r="B20" s="56" t="s">
        <v>487</v>
      </c>
      <c r="C20" s="59" t="n">
        <f aca="false">CALC_PL!F26</f>
        <v>0.714482612265344</v>
      </c>
      <c r="D20" s="58" t="s">
        <v>447</v>
      </c>
      <c r="E20" s="34" t="s">
        <v>488</v>
      </c>
      <c r="F20" s="11"/>
    </row>
    <row r="21" customFormat="false" ht="15.75" hidden="false" customHeight="true" outlineLevel="0" collapsed="false">
      <c r="A21" s="9" t="s">
        <v>489</v>
      </c>
      <c r="B21" s="56" t="s">
        <v>490</v>
      </c>
      <c r="C21" s="59" t="n">
        <f aca="false">CALC_PL!F43</f>
        <v>0.448849934130283</v>
      </c>
      <c r="D21" s="58" t="s">
        <v>447</v>
      </c>
      <c r="E21" s="34" t="s">
        <v>491</v>
      </c>
      <c r="F21" s="11"/>
    </row>
    <row r="22" customFormat="false" ht="18" hidden="false" customHeight="true" outlineLevel="0" collapsed="false">
      <c r="A22" s="6" t="s">
        <v>492</v>
      </c>
      <c r="B22" s="7"/>
      <c r="C22" s="7"/>
      <c r="D22" s="7"/>
      <c r="E22" s="7"/>
      <c r="F22" s="7"/>
    </row>
    <row r="23" customFormat="false" ht="15.75" hidden="false" customHeight="true" outlineLevel="0" collapsed="false">
      <c r="A23" s="9" t="s">
        <v>493</v>
      </c>
      <c r="B23" s="56" t="s">
        <v>494</v>
      </c>
      <c r="C23" s="60" t="n">
        <f aca="false">INPUTS!$B$30</f>
        <v>3.5</v>
      </c>
      <c r="D23" s="58" t="s">
        <v>447</v>
      </c>
      <c r="E23" s="34" t="s">
        <v>495</v>
      </c>
      <c r="F23" s="11"/>
    </row>
    <row r="24" customFormat="false" ht="15.75" hidden="false" customHeight="true" outlineLevel="0" collapsed="false">
      <c r="A24" s="9" t="s">
        <v>496</v>
      </c>
      <c r="B24" s="56" t="s">
        <v>497</v>
      </c>
      <c r="C24" s="60" t="n">
        <f aca="false" t="array" ref="C24:C24">INDEX(CALC_COGS!I7:I13,3)</f>
        <v>1.882263</v>
      </c>
      <c r="D24" s="58" t="s">
        <v>447</v>
      </c>
      <c r="E24" s="34" t="s">
        <v>498</v>
      </c>
      <c r="F24" s="11" t="s">
        <v>499</v>
      </c>
    </row>
    <row r="25" customFormat="false" ht="15.75" hidden="false" customHeight="true" outlineLevel="0" collapsed="false">
      <c r="A25" s="9" t="s">
        <v>500</v>
      </c>
      <c r="B25" s="56" t="s">
        <v>501</v>
      </c>
      <c r="C25" s="60" t="n">
        <f aca="false" t="array" ref="C25:C25">INDEX(CALC_COGS!I7:I13,6)</f>
        <v>1.435963104</v>
      </c>
      <c r="D25" s="58" t="s">
        <v>447</v>
      </c>
      <c r="E25" s="34" t="s">
        <v>502</v>
      </c>
      <c r="F25" s="11" t="s">
        <v>499</v>
      </c>
    </row>
    <row r="26" customFormat="false" ht="15.75" hidden="false" customHeight="true" outlineLevel="0" collapsed="false">
      <c r="A26" s="9" t="s">
        <v>503</v>
      </c>
      <c r="B26" s="56" t="s">
        <v>504</v>
      </c>
      <c r="C26" s="60" t="n">
        <f aca="false" t="array" ref="C26:C26">INDEX(CALC_COGS!I7:I13,3)</f>
        <v>1.882263</v>
      </c>
      <c r="D26" s="61" t="s">
        <v>505</v>
      </c>
      <c r="E26" s="34" t="s">
        <v>498</v>
      </c>
      <c r="F26" s="11" t="s">
        <v>506</v>
      </c>
    </row>
    <row r="27" customFormat="false" ht="15.75" hidden="false" customHeight="true" outlineLevel="0" collapsed="false">
      <c r="A27" s="9" t="s">
        <v>507</v>
      </c>
      <c r="B27" s="56" t="s">
        <v>508</v>
      </c>
      <c r="C27" s="60" t="n">
        <f aca="false" t="array" ref="C27:C27">INDEX(CALC_COGS!I7:I13,4)</f>
        <v>1.6942478</v>
      </c>
      <c r="D27" s="61" t="s">
        <v>505</v>
      </c>
      <c r="E27" s="34" t="s">
        <v>509</v>
      </c>
      <c r="F27" s="11" t="s">
        <v>510</v>
      </c>
    </row>
    <row r="28" customFormat="false" ht="18" hidden="false" customHeight="true" outlineLevel="0" collapsed="false">
      <c r="A28" s="6" t="s">
        <v>511</v>
      </c>
      <c r="B28" s="7"/>
      <c r="C28" s="7"/>
      <c r="D28" s="7"/>
      <c r="E28" s="7"/>
      <c r="F28" s="7"/>
    </row>
    <row r="29" customFormat="false" ht="15.75" hidden="false" customHeight="true" outlineLevel="0" collapsed="false">
      <c r="A29" s="9" t="s">
        <v>512</v>
      </c>
      <c r="B29" s="56" t="s">
        <v>513</v>
      </c>
      <c r="C29" s="57" t="n">
        <f aca="false">CALC_CASH!$B$78</f>
        <v>770957.270624685</v>
      </c>
      <c r="D29" s="62" t="s">
        <v>447</v>
      </c>
      <c r="E29" s="34" t="s">
        <v>514</v>
      </c>
      <c r="F29" s="11" t="s">
        <v>515</v>
      </c>
    </row>
    <row r="30" customFormat="false" ht="15.75" hidden="false" customHeight="true" outlineLevel="0" collapsed="false">
      <c r="A30" s="9" t="s">
        <v>516</v>
      </c>
      <c r="B30" s="56" t="s">
        <v>517</v>
      </c>
      <c r="C30" s="57" t="n">
        <f aca="false">CALC_CASH!$B$76</f>
        <v>12234547.7286123</v>
      </c>
      <c r="D30" s="62" t="s">
        <v>447</v>
      </c>
      <c r="E30" s="34" t="s">
        <v>514</v>
      </c>
      <c r="F30" s="11" t="s">
        <v>518</v>
      </c>
    </row>
    <row r="31" customFormat="false" ht="15.75" hidden="false" customHeight="true" outlineLevel="0" collapsed="false">
      <c r="A31" s="9" t="s">
        <v>519</v>
      </c>
      <c r="B31" s="56" t="s">
        <v>520</v>
      </c>
      <c r="C31" s="57" t="n">
        <f aca="false">CALC_CASH!$B$79</f>
        <v>232500</v>
      </c>
      <c r="D31" s="62" t="s">
        <v>442</v>
      </c>
      <c r="E31" s="34" t="s">
        <v>514</v>
      </c>
      <c r="F31" s="11" t="s">
        <v>521</v>
      </c>
    </row>
    <row r="32" customFormat="false" ht="15.75" hidden="false" customHeight="true" outlineLevel="0" collapsed="false">
      <c r="A32" s="9" t="s">
        <v>522</v>
      </c>
      <c r="B32" s="56" t="s">
        <v>523</v>
      </c>
      <c r="C32" s="63" t="n">
        <f aca="false">CALC_CASH!$B$80</f>
        <v>39</v>
      </c>
      <c r="D32" s="62" t="s">
        <v>447</v>
      </c>
      <c r="E32" s="34" t="s">
        <v>514</v>
      </c>
      <c r="F32" s="11" t="s">
        <v>524</v>
      </c>
    </row>
    <row r="33" customFormat="false" ht="15.75" hidden="false" customHeight="true" outlineLevel="0" collapsed="false">
      <c r="A33" s="9" t="s">
        <v>525</v>
      </c>
      <c r="B33" s="56" t="s">
        <v>526</v>
      </c>
      <c r="C33" s="57" t="n">
        <f aca="false">CALC_CASH!$B$74</f>
        <v>426439.947957376</v>
      </c>
      <c r="D33" s="64" t="s">
        <v>527</v>
      </c>
      <c r="E33" s="34" t="s">
        <v>514</v>
      </c>
      <c r="F33" s="11" t="s">
        <v>528</v>
      </c>
    </row>
    <row r="34" customFormat="false" ht="18" hidden="false" customHeight="true" outlineLevel="0" collapsed="false">
      <c r="A34" s="6" t="s">
        <v>529</v>
      </c>
      <c r="B34" s="7"/>
      <c r="C34" s="7"/>
      <c r="D34" s="7"/>
      <c r="E34" s="7"/>
      <c r="F34" s="7"/>
    </row>
    <row r="35" customFormat="false" ht="15.75" hidden="false" customHeight="true" outlineLevel="0" collapsed="false">
      <c r="A35" s="9" t="s">
        <v>530</v>
      </c>
      <c r="B35" s="56" t="s">
        <v>531</v>
      </c>
      <c r="C35" s="63" t="n">
        <f aca="false">CALC_PL!B7+CALC_PL!B8</f>
        <v>137500</v>
      </c>
      <c r="D35" s="62" t="s">
        <v>442</v>
      </c>
      <c r="E35" s="34" t="s">
        <v>532</v>
      </c>
      <c r="F35" s="11" t="s">
        <v>533</v>
      </c>
    </row>
    <row r="36" customFormat="false" ht="15.75" hidden="false" customHeight="true" outlineLevel="0" collapsed="false">
      <c r="A36" s="9" t="s">
        <v>534</v>
      </c>
      <c r="B36" s="56" t="s">
        <v>535</v>
      </c>
      <c r="C36" s="63" t="n">
        <f aca="false">CALC_PL!F7+CALC_PL!F8</f>
        <v>1837000</v>
      </c>
      <c r="D36" s="62" t="s">
        <v>442</v>
      </c>
      <c r="E36" s="34" t="s">
        <v>536</v>
      </c>
      <c r="F36" s="11" t="s">
        <v>537</v>
      </c>
    </row>
    <row r="37" customFormat="false" ht="15.75" hidden="false" customHeight="true" outlineLevel="0" collapsed="false">
      <c r="A37" s="9" t="s">
        <v>538</v>
      </c>
      <c r="B37" s="56" t="s">
        <v>539</v>
      </c>
      <c r="C37" s="63" t="n">
        <f aca="false">CALC_PL!D10</f>
        <v>5</v>
      </c>
      <c r="D37" s="58" t="s">
        <v>447</v>
      </c>
      <c r="E37" s="34" t="s">
        <v>540</v>
      </c>
      <c r="F37" s="11" t="s">
        <v>541</v>
      </c>
    </row>
    <row r="38" customFormat="false" ht="18" hidden="false" customHeight="true" outlineLevel="0" collapsed="false">
      <c r="A38" s="6" t="s">
        <v>542</v>
      </c>
      <c r="B38" s="7"/>
      <c r="C38" s="7"/>
      <c r="D38" s="7"/>
      <c r="E38" s="7"/>
      <c r="F38" s="7"/>
    </row>
    <row r="39" customFormat="false" ht="15.75" hidden="false" customHeight="true" outlineLevel="0" collapsed="false">
      <c r="A39" s="9" t="s">
        <v>543</v>
      </c>
      <c r="B39" s="56" t="s">
        <v>544</v>
      </c>
      <c r="C39" s="57" t="n">
        <f aca="false">INPUTS!$B$129</f>
        <v>2500000</v>
      </c>
      <c r="D39" s="58" t="s">
        <v>447</v>
      </c>
      <c r="E39" s="34" t="s">
        <v>25</v>
      </c>
      <c r="F39" s="11"/>
    </row>
    <row r="40" customFormat="false" ht="15.75" hidden="false" customHeight="true" outlineLevel="0" collapsed="false">
      <c r="A40" s="9" t="s">
        <v>236</v>
      </c>
      <c r="B40" s="56" t="s">
        <v>545</v>
      </c>
      <c r="C40" s="57" t="n">
        <f aca="false">INPUTS!$B$128</f>
        <v>100000</v>
      </c>
      <c r="D40" s="58" t="s">
        <v>447</v>
      </c>
      <c r="E40" s="34" t="s">
        <v>25</v>
      </c>
      <c r="F40" s="11"/>
    </row>
    <row r="41" customFormat="false" ht="15.75" hidden="false" customHeight="true" outlineLevel="0" collapsed="false">
      <c r="A41" s="9" t="s">
        <v>546</v>
      </c>
      <c r="B41" s="56" t="s">
        <v>547</v>
      </c>
      <c r="C41" s="57" t="n">
        <f aca="false">INPUTS!$B$125</f>
        <v>232500</v>
      </c>
      <c r="D41" s="58" t="s">
        <v>447</v>
      </c>
      <c r="E41" s="34" t="s">
        <v>548</v>
      </c>
      <c r="F41" s="11" t="s">
        <v>549</v>
      </c>
    </row>
    <row r="42" customFormat="false" ht="15.75" hidden="false" customHeight="true" outlineLevel="0" collapsed="false">
      <c r="A42" s="9" t="s">
        <v>550</v>
      </c>
      <c r="B42" s="56" t="s">
        <v>551</v>
      </c>
      <c r="C42" s="59" t="n">
        <f aca="false">INPUTS!$B$5</f>
        <v>0.02</v>
      </c>
      <c r="D42" s="58" t="s">
        <v>447</v>
      </c>
      <c r="E42" s="34" t="s">
        <v>25</v>
      </c>
      <c r="F42" s="11"/>
    </row>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customHeight="true" zeroHeight="false" outlineLevelRow="0" outlineLevelCol="0"/>
  <cols>
    <col collapsed="false" customWidth="true" hidden="false" outlineLevel="0" max="1" min="1" style="1" width="52.14"/>
    <col collapsed="false" customWidth="true" hidden="false" outlineLevel="0" max="2" min="2" style="1" width="32.86"/>
    <col collapsed="false" customWidth="true" hidden="false" outlineLevel="0" max="7" min="3" style="1" width="14"/>
    <col collapsed="false" customWidth="true" hidden="false" outlineLevel="0" max="8" min="8" style="1" width="40"/>
    <col collapsed="false" customWidth="true" hidden="false" outlineLevel="0" max="26" min="9" style="1" width="8.71"/>
  </cols>
  <sheetData>
    <row r="1" customFormat="false" ht="21.75" hidden="false" customHeight="true" outlineLevel="0" collapsed="false">
      <c r="A1" s="2" t="s">
        <v>552</v>
      </c>
    </row>
    <row r="2" customFormat="false" ht="21.75" hidden="false" customHeight="true" outlineLevel="0" collapsed="false">
      <c r="A2" s="11" t="s">
        <v>553</v>
      </c>
    </row>
    <row r="4" customFormat="false" ht="18" hidden="false" customHeight="true" outlineLevel="0" collapsed="false">
      <c r="A4" s="6" t="s">
        <v>554</v>
      </c>
      <c r="B4" s="7"/>
      <c r="C4" s="7"/>
      <c r="D4" s="7"/>
      <c r="E4" s="7"/>
      <c r="F4" s="7"/>
      <c r="G4" s="7"/>
      <c r="H4" s="7"/>
    </row>
    <row r="5" customFormat="false" ht="42.75" hidden="false" customHeight="true" outlineLevel="0" collapsed="false">
      <c r="A5" s="11" t="s">
        <v>555</v>
      </c>
    </row>
    <row r="6" customFormat="false" ht="15" hidden="false" customHeight="true" outlineLevel="0" collapsed="false">
      <c r="A6" s="9" t="s">
        <v>556</v>
      </c>
      <c r="B6" s="41" t="n">
        <f aca="false">CALC_PL!B17</f>
        <v>299174.253</v>
      </c>
      <c r="H6" s="11" t="s">
        <v>557</v>
      </c>
    </row>
    <row r="7" customFormat="false" ht="15" hidden="false" customHeight="true" outlineLevel="0" collapsed="false">
      <c r="A7" s="9" t="s">
        <v>558</v>
      </c>
      <c r="B7" s="41" t="n">
        <f aca="false">CALC_MONTHLY!N66</f>
        <v>280696.206</v>
      </c>
      <c r="H7" s="11" t="s">
        <v>559</v>
      </c>
    </row>
    <row r="8" customFormat="false" ht="21.75" hidden="false" customHeight="true" outlineLevel="0" collapsed="false">
      <c r="A8" s="17" t="s">
        <v>560</v>
      </c>
      <c r="B8" s="50" t="n">
        <f aca="false">B6-B7</f>
        <v>18478.047</v>
      </c>
      <c r="H8" s="11" t="s">
        <v>561</v>
      </c>
    </row>
    <row r="9" customFormat="false" ht="15" hidden="false" customHeight="true" outlineLevel="0" collapsed="false">
      <c r="A9" s="17" t="s">
        <v>562</v>
      </c>
      <c r="B9" s="65" t="n">
        <f aca="false">B8/B6</f>
        <v>0.0617634933979428</v>
      </c>
    </row>
    <row r="11" customFormat="false" ht="18" hidden="false" customHeight="true" outlineLevel="0" collapsed="false">
      <c r="A11" s="6" t="s">
        <v>563</v>
      </c>
      <c r="B11" s="7"/>
      <c r="C11" s="7"/>
      <c r="D11" s="7"/>
      <c r="E11" s="7"/>
      <c r="F11" s="7"/>
      <c r="G11" s="7"/>
      <c r="H11" s="7"/>
    </row>
    <row r="12" customFormat="false" ht="42.75" hidden="false" customHeight="true" outlineLevel="0" collapsed="false">
      <c r="A12" s="11" t="s">
        <v>564</v>
      </c>
    </row>
    <row r="13" customFormat="false" ht="15" hidden="false" customHeight="true" outlineLevel="0" collapsed="false">
      <c r="A13" s="8" t="s">
        <v>288</v>
      </c>
      <c r="B13" s="8" t="s">
        <v>289</v>
      </c>
      <c r="C13" s="8" t="s">
        <v>565</v>
      </c>
      <c r="D13" s="8" t="s">
        <v>566</v>
      </c>
      <c r="E13" s="8" t="s">
        <v>567</v>
      </c>
      <c r="F13" s="8" t="s">
        <v>568</v>
      </c>
      <c r="G13" s="8" t="s">
        <v>569</v>
      </c>
      <c r="H13" s="8" t="s">
        <v>567</v>
      </c>
    </row>
    <row r="14" customFormat="false" ht="15" hidden="false" customHeight="true" outlineLevel="0" collapsed="false">
      <c r="A14" s="9" t="s">
        <v>570</v>
      </c>
      <c r="B14" s="42" t="n">
        <f aca="false">CALC_COGS!C7</f>
        <v>500</v>
      </c>
      <c r="C14" s="37" t="n">
        <f aca="false">CALC_COGS!I7</f>
        <v>13.98911</v>
      </c>
      <c r="D14" s="37" t="n">
        <f aca="false">CALC_COGS!K7</f>
        <v>3.98911</v>
      </c>
      <c r="E14" s="38" t="n">
        <f aca="false">C14-D14</f>
        <v>10</v>
      </c>
      <c r="F14" s="37" t="n">
        <f aca="false">CALC_COGS!I18</f>
        <v>12.63954</v>
      </c>
      <c r="G14" s="37" t="n">
        <f aca="false">CALC_COGS!K18</f>
        <v>2.63954</v>
      </c>
      <c r="H14" s="38" t="n">
        <f aca="false">F14-G14</f>
        <v>10</v>
      </c>
    </row>
    <row r="15" customFormat="false" ht="15" hidden="false" customHeight="true" outlineLevel="0" collapsed="false">
      <c r="A15" s="9" t="s">
        <v>571</v>
      </c>
      <c r="B15" s="42" t="n">
        <f aca="false">CALC_COGS!C8</f>
        <v>5000</v>
      </c>
      <c r="C15" s="37" t="n">
        <f aca="false">CALC_COGS!I8</f>
        <v>3.11491</v>
      </c>
      <c r="D15" s="37" t="n">
        <f aca="false">CALC_COGS!K8</f>
        <v>2.11491</v>
      </c>
      <c r="E15" s="38" t="n">
        <f aca="false">C15-D15</f>
        <v>1</v>
      </c>
      <c r="F15" s="37" t="n">
        <f aca="false">CALC_COGS!I19</f>
        <v>1.86534</v>
      </c>
      <c r="G15" s="37" t="n">
        <f aca="false">CALC_COGS!K19</f>
        <v>0.86534</v>
      </c>
      <c r="H15" s="38" t="n">
        <f aca="false">F15-G15</f>
        <v>1</v>
      </c>
    </row>
    <row r="16" customFormat="false" ht="15" hidden="false" customHeight="true" outlineLevel="0" collapsed="false">
      <c r="A16" s="9" t="s">
        <v>572</v>
      </c>
      <c r="B16" s="42" t="n">
        <f aca="false">CALC_COGS!C9</f>
        <v>50000</v>
      </c>
      <c r="C16" s="37" t="n">
        <f aca="false">CALC_COGS!I9</f>
        <v>1.882263</v>
      </c>
      <c r="D16" s="37" t="n">
        <f aca="false">CALC_COGS!K9</f>
        <v>1.782263</v>
      </c>
      <c r="E16" s="38" t="n">
        <f aca="false">C16-D16</f>
        <v>0.1</v>
      </c>
      <c r="F16" s="37" t="n">
        <f aca="false">CALC_COGS!I20</f>
        <v>0.72952</v>
      </c>
      <c r="G16" s="37" t="n">
        <f aca="false">CALC_COGS!K20</f>
        <v>0.62952</v>
      </c>
      <c r="H16" s="38" t="n">
        <f aca="false">F16-G16</f>
        <v>0.1</v>
      </c>
    </row>
    <row r="17" customFormat="false" ht="15" hidden="false" customHeight="true" outlineLevel="0" collapsed="false">
      <c r="A17" s="9" t="s">
        <v>573</v>
      </c>
      <c r="B17" s="42" t="n">
        <f aca="false">CALC_COGS!C10</f>
        <v>250000</v>
      </c>
      <c r="C17" s="37" t="n">
        <f aca="false">CALC_COGS!I10</f>
        <v>1.6942478</v>
      </c>
      <c r="D17" s="37" t="n">
        <f aca="false">CALC_COGS!K10</f>
        <v>1.6742478</v>
      </c>
      <c r="E17" s="38" t="n">
        <f aca="false">C17-D17</f>
        <v>0.02</v>
      </c>
      <c r="F17" s="37" t="n">
        <f aca="false">CALC_COGS!I21</f>
        <v>0.5915048</v>
      </c>
      <c r="G17" s="37" t="n">
        <f aca="false">CALC_COGS!K21</f>
        <v>0.5715048</v>
      </c>
      <c r="H17" s="38" t="n">
        <f aca="false">F17-G17</f>
        <v>0.02</v>
      </c>
    </row>
    <row r="18" customFormat="false" ht="15" hidden="false" customHeight="true" outlineLevel="0" collapsed="false">
      <c r="A18" s="9" t="s">
        <v>539</v>
      </c>
      <c r="B18" s="42" t="n">
        <f aca="false">CALC_COGS!C11</f>
        <v>750000</v>
      </c>
      <c r="C18" s="37" t="n">
        <f aca="false">CALC_COGS!I11</f>
        <v>1.51087333333333</v>
      </c>
      <c r="D18" s="37" t="n">
        <f aca="false">CALC_COGS!K11</f>
        <v>1.50420666666667</v>
      </c>
      <c r="E18" s="38" t="n">
        <f aca="false">C18-D18</f>
        <v>0.00666666666666682</v>
      </c>
      <c r="F18" s="37" t="n">
        <f aca="false">CALC_COGS!I22</f>
        <v>0.496957333333333</v>
      </c>
      <c r="G18" s="37" t="n">
        <f aca="false">CALC_COGS!K22</f>
        <v>0.490290666666667</v>
      </c>
      <c r="H18" s="38" t="n">
        <f aca="false">F18-G18</f>
        <v>0.00666666666666671</v>
      </c>
    </row>
    <row r="19" customFormat="false" ht="15" hidden="false" customHeight="true" outlineLevel="0" collapsed="false">
      <c r="A19" s="9" t="s">
        <v>574</v>
      </c>
      <c r="B19" s="42" t="n">
        <f aca="false">CALC_COGS!C12</f>
        <v>2500000</v>
      </c>
      <c r="C19" s="37" t="n">
        <f aca="false">CALC_COGS!I12</f>
        <v>1.435963104</v>
      </c>
      <c r="D19" s="37" t="n">
        <f aca="false">CALC_COGS!K12</f>
        <v>1.433963104</v>
      </c>
      <c r="E19" s="38" t="n">
        <f aca="false">C19-D19</f>
        <v>0.00199999999999978</v>
      </c>
      <c r="F19" s="37" t="n">
        <f aca="false">CALC_COGS!I23</f>
        <v>0.472047104</v>
      </c>
      <c r="G19" s="37" t="n">
        <f aca="false">CALC_COGS!K23</f>
        <v>0.470047104</v>
      </c>
      <c r="H19" s="38" t="n">
        <f aca="false">F19-G19</f>
        <v>0.002</v>
      </c>
    </row>
    <row r="20" customFormat="false" ht="15" hidden="false" customHeight="true" outlineLevel="0" collapsed="false">
      <c r="A20" s="9" t="s">
        <v>575</v>
      </c>
      <c r="B20" s="42" t="n">
        <f aca="false">CALC_COGS!C13</f>
        <v>7500000</v>
      </c>
      <c r="C20" s="37" t="n">
        <f aca="false">CALC_COGS!I13</f>
        <v>1.38457757866667</v>
      </c>
      <c r="D20" s="37" t="n">
        <f aca="false">CALC_COGS!K13</f>
        <v>1.383910912</v>
      </c>
      <c r="E20" s="38" t="n">
        <f aca="false">C20-D20</f>
        <v>0.000666666666666593</v>
      </c>
      <c r="F20" s="37" t="n">
        <f aca="false">CALC_COGS!I24</f>
        <v>0.440661578666667</v>
      </c>
      <c r="G20" s="37" t="n">
        <f aca="false">CALC_COGS!K24</f>
        <v>0.439994912</v>
      </c>
      <c r="H20" s="38" t="n">
        <f aca="false">F20-G20</f>
        <v>0.000666666666666649</v>
      </c>
    </row>
    <row r="21" customFormat="false" ht="15.75" hidden="false" customHeight="true" outlineLevel="0" collapsed="false"/>
    <row r="22" customFormat="false" ht="15.75" hidden="false" customHeight="true" outlineLevel="0" collapsed="false">
      <c r="A22" s="17" t="s">
        <v>576</v>
      </c>
    </row>
    <row r="23" customFormat="false" ht="15.75" hidden="false" customHeight="true" outlineLevel="0" collapsed="false">
      <c r="A23" s="8"/>
      <c r="B23" s="8" t="s">
        <v>142</v>
      </c>
      <c r="C23" s="8" t="s">
        <v>143</v>
      </c>
      <c r="D23" s="8" t="s">
        <v>144</v>
      </c>
      <c r="E23" s="8" t="s">
        <v>145</v>
      </c>
      <c r="F23" s="8" t="s">
        <v>146</v>
      </c>
      <c r="G23" s="8" t="s">
        <v>577</v>
      </c>
      <c r="H23" s="8"/>
    </row>
    <row r="24" customFormat="false" ht="15.75" hidden="false" customHeight="true" outlineLevel="0" collapsed="false">
      <c r="A24" s="9" t="s">
        <v>578</v>
      </c>
      <c r="B24" s="41" t="n">
        <f aca="false">CALC_PL!B22</f>
        <v>159543.957275</v>
      </c>
      <c r="C24" s="41" t="n">
        <f aca="false">CALC_PL!C22</f>
        <v>398861.0360638</v>
      </c>
      <c r="D24" s="41" t="n">
        <f aca="false">CALC_PL!D22</f>
        <v>701218.128166667</v>
      </c>
      <c r="E24" s="41" t="n">
        <f aca="false">CALC_PL!E22</f>
        <v>1112823.270464</v>
      </c>
      <c r="F24" s="41" t="n">
        <f aca="false">CALC_PL!F22</f>
        <v>1780516.847176</v>
      </c>
      <c r="G24" s="50" t="n">
        <f aca="false">SUM(B24:F24)</f>
        <v>4152963.23914547</v>
      </c>
    </row>
    <row r="25" customFormat="false" ht="15.75" hidden="false" customHeight="true" outlineLevel="0" collapsed="false">
      <c r="A25" s="9" t="s">
        <v>579</v>
      </c>
      <c r="B25" s="41" t="n">
        <f aca="false" t="array" ref="B25:B25">INDEX(CALC_COGS!K7:K13,CALC_PL!B10)*CALC_PL!B7+INDEX(CALC_COGS!K18:K24,CALC_PL!B10)*CALC_PL!B8</f>
        <v>156793.957275</v>
      </c>
      <c r="C25" s="41" t="n">
        <f aca="false" t="array" ref="C25:C25">INDEX(CALC_COGS!K7:K13,CALC_PL!C10)*CALC_PL!C7+INDEX(CALC_COGS!K18:K24,CALC_PL!C10)*CALC_PL!C8</f>
        <v>391986.0160638</v>
      </c>
      <c r="D25" s="41" t="n">
        <f aca="false" t="array" ref="D25:D25">INDEX(CALC_COGS!K7:K13,CALC_PL!D10)*CALC_PL!D7+INDEX(CALC_COGS!K18:K24,CALC_PL!D10)*CALC_PL!D8</f>
        <v>696634.794833333</v>
      </c>
      <c r="E25" s="41" t="n">
        <f aca="false" t="array" ref="E25:E25">INDEX(CALC_COGS!K7:K13,CALC_PL!E10)*CALC_PL!E7+INDEX(CALC_COGS!K18:K24,CALC_PL!E10)*CALC_PL!E8</f>
        <v>1110527.020464</v>
      </c>
      <c r="F25" s="41" t="n">
        <f aca="false" t="array" ref="F25:F25">INDEX(CALC_COGS!K7:K13,CALC_PL!F10)*CALC_PL!F7+INDEX(CALC_COGS!K18:K24,CALC_PL!F10)*CALC_PL!F8</f>
        <v>1776842.847176</v>
      </c>
      <c r="G25" s="50" t="n">
        <f aca="false">SUM(B25:F25)</f>
        <v>4132784.63581213</v>
      </c>
    </row>
    <row r="26" customFormat="false" ht="15.75" hidden="false" customHeight="true" outlineLevel="0" collapsed="false">
      <c r="A26" s="17" t="s">
        <v>580</v>
      </c>
      <c r="B26" s="50" t="n">
        <f aca="false">B24-B25</f>
        <v>2750</v>
      </c>
      <c r="C26" s="50" t="n">
        <f aca="false">C24-C25</f>
        <v>6875.02000000002</v>
      </c>
      <c r="D26" s="50" t="n">
        <f aca="false">D24-D25</f>
        <v>4583.33333333337</v>
      </c>
      <c r="E26" s="50" t="n">
        <f aca="false">E24-E25</f>
        <v>2296.24999999977</v>
      </c>
      <c r="F26" s="50" t="n">
        <f aca="false">F24-F25</f>
        <v>3674</v>
      </c>
      <c r="G26" s="50" t="n">
        <f aca="false">SUM(B26:F26)</f>
        <v>20178.6033333332</v>
      </c>
    </row>
    <row r="27" customFormat="false" ht="15.75" hidden="false" customHeight="true" outlineLevel="0" collapsed="false">
      <c r="A27" s="17" t="s">
        <v>581</v>
      </c>
      <c r="B27" s="51" t="n">
        <f aca="false">CALC_PL!B42+B26</f>
        <v>-616702.198745585</v>
      </c>
      <c r="C27" s="51" t="n">
        <f aca="false">CALC_PL!C42+C26</f>
        <v>-786755.091821636</v>
      </c>
      <c r="D27" s="51" t="n">
        <f aca="false">CALC_PL!D42+D26</f>
        <v>586988.270295166</v>
      </c>
      <c r="E27" s="51" t="n">
        <f aca="false">CALC_PL!E42+E26</f>
        <v>3507132.26933349</v>
      </c>
      <c r="F27" s="51" t="n">
        <f aca="false">CALC_PL!F42+F26</f>
        <v>9877011.64687884</v>
      </c>
      <c r="G27" s="51" t="n">
        <f aca="false">SUM(B27:F27)</f>
        <v>12567674.8959403</v>
      </c>
      <c r="H27" s="11" t="s">
        <v>582</v>
      </c>
    </row>
    <row r="28" customFormat="false" ht="15.75" hidden="false" customHeight="true" outlineLevel="0" collapsed="false"/>
    <row r="29" customFormat="false" ht="18" hidden="false" customHeight="true" outlineLevel="0" collapsed="false">
      <c r="A29" s="6" t="s">
        <v>583</v>
      </c>
      <c r="B29" s="7"/>
      <c r="C29" s="7"/>
      <c r="D29" s="7"/>
      <c r="E29" s="7"/>
      <c r="F29" s="7"/>
      <c r="G29" s="7"/>
      <c r="H29" s="7"/>
    </row>
    <row r="30" customFormat="false" ht="15.75" hidden="false" customHeight="true" outlineLevel="0" collapsed="false">
      <c r="A30" s="11" t="s">
        <v>584</v>
      </c>
    </row>
    <row r="31" customFormat="false" ht="15.75" hidden="false" customHeight="true" outlineLevel="0" collapsed="false">
      <c r="A31" s="8"/>
      <c r="B31" s="8" t="s">
        <v>142</v>
      </c>
      <c r="C31" s="8" t="s">
        <v>143</v>
      </c>
      <c r="D31" s="8" t="s">
        <v>144</v>
      </c>
      <c r="E31" s="8" t="s">
        <v>145</v>
      </c>
      <c r="F31" s="8" t="s">
        <v>146</v>
      </c>
      <c r="G31" s="8"/>
      <c r="H31" s="8"/>
    </row>
    <row r="32" customFormat="false" ht="15.75" hidden="false" customHeight="true" outlineLevel="0" collapsed="false">
      <c r="A32" s="9" t="s">
        <v>585</v>
      </c>
      <c r="B32" s="41" t="n">
        <f aca="false">CALC_PL!B42</f>
        <v>-619452.198745585</v>
      </c>
      <c r="C32" s="41" t="n">
        <f aca="false">CALC_PL!C42</f>
        <v>-793630.111821636</v>
      </c>
      <c r="D32" s="41" t="n">
        <f aca="false">CALC_PL!D42</f>
        <v>582404.936961833</v>
      </c>
      <c r="E32" s="41" t="n">
        <f aca="false">CALC_PL!E42</f>
        <v>3504836.01933349</v>
      </c>
      <c r="F32" s="41" t="n">
        <f aca="false">CALC_PL!F42</f>
        <v>9873337.64687884</v>
      </c>
    </row>
    <row r="33" customFormat="false" ht="15.75" hidden="false" customHeight="true" outlineLevel="0" collapsed="false">
      <c r="A33" s="9" t="s">
        <v>391</v>
      </c>
      <c r="B33" s="41" t="n">
        <f aca="false">CALC_PL!B44</f>
        <v>-619452.198745585</v>
      </c>
      <c r="C33" s="41" t="n">
        <f aca="false">CALC_PL!C44</f>
        <v>-1413082.31056722</v>
      </c>
      <c r="D33" s="41" t="n">
        <f aca="false">CALC_PL!D44</f>
        <v>-830677.373605388</v>
      </c>
      <c r="E33" s="41" t="n">
        <f aca="false">CALC_PL!E44</f>
        <v>2674158.6457281</v>
      </c>
      <c r="F33" s="41" t="n">
        <f aca="false">CALC_PL!F44</f>
        <v>12547496.2926069</v>
      </c>
    </row>
    <row r="34" customFormat="false" ht="15.75" hidden="false" customHeight="true" outlineLevel="0" collapsed="false">
      <c r="A34" s="20" t="s">
        <v>586</v>
      </c>
      <c r="B34" s="35" t="str">
        <f aca="false">IF(D32&gt;0,"Y3",IF(E32&gt;0,"Y4","later"))</f>
        <v>Y3</v>
      </c>
      <c r="H34" s="11" t="s">
        <v>587</v>
      </c>
    </row>
    <row r="35" customFormat="false" ht="15.75" hidden="false" customHeight="true" outlineLevel="0" collapsed="false">
      <c r="A35" s="20" t="s">
        <v>588</v>
      </c>
      <c r="B35" s="35" t="str">
        <f aca="false">IF(D33&gt;0,"Y3",IF(E33&gt;0,"Y4","later"))</f>
        <v>Y4</v>
      </c>
      <c r="H35" s="11" t="s">
        <v>589</v>
      </c>
    </row>
    <row r="36" customFormat="false" ht="15.75" hidden="false" customHeight="true" outlineLevel="0" collapsed="false"/>
    <row r="37" customFormat="false" ht="18" hidden="false" customHeight="true" outlineLevel="0" collapsed="false">
      <c r="A37" s="6" t="s">
        <v>590</v>
      </c>
      <c r="B37" s="7"/>
      <c r="C37" s="7"/>
      <c r="D37" s="7"/>
      <c r="E37" s="7"/>
      <c r="F37" s="7"/>
      <c r="G37" s="7"/>
      <c r="H37" s="7"/>
    </row>
    <row r="38" customFormat="false" ht="15.75" hidden="false" customHeight="true" outlineLevel="0" collapsed="false">
      <c r="A38" s="17" t="s">
        <v>42</v>
      </c>
      <c r="B38" s="3" t="s">
        <v>591</v>
      </c>
    </row>
    <row r="39" customFormat="false" ht="15.75" hidden="false" customHeight="true" outlineLevel="0" collapsed="false">
      <c r="A39" s="11" t="s">
        <v>592</v>
      </c>
    </row>
    <row r="40" customFormat="false" ht="15.75" hidden="false" customHeight="true" outlineLevel="0" collapsed="false">
      <c r="A40" s="11" t="s">
        <v>593</v>
      </c>
    </row>
    <row r="41" customFormat="false" ht="15.75" hidden="false" customHeight="true" outlineLevel="0" collapsed="false"/>
    <row r="42" customFormat="false" ht="15.75" hidden="false" customHeight="true" outlineLevel="0" collapsed="false">
      <c r="A42" s="17" t="s">
        <v>594</v>
      </c>
      <c r="B42" s="3" t="s">
        <v>591</v>
      </c>
    </row>
    <row r="43" customFormat="false" ht="15.75" hidden="false" customHeight="true" outlineLevel="0" collapsed="false">
      <c r="A43" s="11" t="s">
        <v>595</v>
      </c>
    </row>
    <row r="44" customFormat="false" ht="15.75" hidden="false" customHeight="true" outlineLevel="0" collapsed="false">
      <c r="A44" s="11" t="s">
        <v>596</v>
      </c>
    </row>
    <row r="45" customFormat="false" ht="15.75" hidden="false" customHeight="true" outlineLevel="0" collapsed="false"/>
    <row r="46" customFormat="false" ht="15.75" hidden="false" customHeight="true" outlineLevel="0" collapsed="false">
      <c r="A46" s="17" t="s">
        <v>597</v>
      </c>
      <c r="B46" s="3" t="s">
        <v>591</v>
      </c>
    </row>
    <row r="47" customFormat="false" ht="15.75" hidden="false" customHeight="true" outlineLevel="0" collapsed="false">
      <c r="A47" s="11" t="s">
        <v>598</v>
      </c>
    </row>
    <row r="48" customFormat="false" ht="15.75" hidden="false" customHeight="true" outlineLevel="0" collapsed="false">
      <c r="A48" s="11" t="s">
        <v>599</v>
      </c>
    </row>
    <row r="49" customFormat="false" ht="15.75" hidden="false" customHeight="true" outlineLevel="0" collapsed="false"/>
    <row r="50" customFormat="false" ht="15.75" hidden="false" customHeight="true" outlineLevel="0" collapsed="false">
      <c r="A50" s="17" t="s">
        <v>600</v>
      </c>
      <c r="B50" s="3" t="s">
        <v>601</v>
      </c>
    </row>
    <row r="51" customFormat="false" ht="15.75" hidden="false" customHeight="true" outlineLevel="0" collapsed="false">
      <c r="A51" s="11" t="s">
        <v>602</v>
      </c>
    </row>
    <row r="52" customFormat="false" ht="15.75" hidden="false" customHeight="true" outlineLevel="0" collapsed="false">
      <c r="A52" s="11" t="s">
        <v>603</v>
      </c>
    </row>
    <row r="53" customFormat="false" ht="15.75" hidden="false" customHeight="true" outlineLevel="0" collapsed="false"/>
    <row r="54" customFormat="false" ht="15.75" hidden="false" customHeight="true" outlineLevel="0" collapsed="false">
      <c r="A54" s="17" t="s">
        <v>604</v>
      </c>
      <c r="B54" s="3" t="s">
        <v>601</v>
      </c>
    </row>
    <row r="55" customFormat="false" ht="15.75" hidden="false" customHeight="true" outlineLevel="0" collapsed="false">
      <c r="A55" s="11" t="s">
        <v>605</v>
      </c>
    </row>
    <row r="56" customFormat="false" ht="15.75" hidden="false" customHeight="true" outlineLevel="0" collapsed="false">
      <c r="A56" s="11" t="s">
        <v>606</v>
      </c>
    </row>
    <row r="57" customFormat="false" ht="15.75" hidden="false" customHeight="true" outlineLevel="0" collapsed="false"/>
    <row r="58" customFormat="false" ht="15.75" hidden="false" customHeight="true" outlineLevel="0" collapsed="false">
      <c r="A58" s="17" t="s">
        <v>607</v>
      </c>
      <c r="B58" s="3" t="s">
        <v>608</v>
      </c>
    </row>
    <row r="59" customFormat="false" ht="15.75" hidden="false" customHeight="true" outlineLevel="0" collapsed="false">
      <c r="A59" s="11" t="s">
        <v>609</v>
      </c>
    </row>
    <row r="60" customFormat="false" ht="15.75" hidden="false" customHeight="true" outlineLevel="0" collapsed="false">
      <c r="A60" s="11" t="s">
        <v>610</v>
      </c>
    </row>
    <row r="61" customFormat="false" ht="15.75" hidden="false" customHeight="true" outlineLevel="0" collapsed="false"/>
    <row r="62" customFormat="false" ht="15.75" hidden="false" customHeight="true" outlineLevel="0" collapsed="false">
      <c r="A62" s="17" t="s">
        <v>611</v>
      </c>
      <c r="B62" s="3" t="s">
        <v>591</v>
      </c>
    </row>
    <row r="63" customFormat="false" ht="15.75" hidden="false" customHeight="true" outlineLevel="0" collapsed="false">
      <c r="A63" s="11" t="s">
        <v>612</v>
      </c>
    </row>
    <row r="64" customFormat="false" ht="15.75" hidden="false" customHeight="true" outlineLevel="0" collapsed="false">
      <c r="A64" s="11" t="s">
        <v>613</v>
      </c>
    </row>
    <row r="65" customFormat="false" ht="15.75" hidden="false" customHeight="true" outlineLevel="0" collapsed="false"/>
    <row r="66" customFormat="false" ht="15.75" hidden="false" customHeight="true" outlineLevel="0" collapsed="false">
      <c r="A66" s="17" t="s">
        <v>614</v>
      </c>
      <c r="B66" s="3" t="s">
        <v>615</v>
      </c>
    </row>
    <row r="67" customFormat="false" ht="15.75" hidden="false" customHeight="true" outlineLevel="0" collapsed="false">
      <c r="A67" s="11" t="s">
        <v>616</v>
      </c>
    </row>
    <row r="68" customFormat="false" ht="15.75" hidden="false" customHeight="true" outlineLevel="0" collapsed="false">
      <c r="A68" s="11" t="s">
        <v>617</v>
      </c>
    </row>
    <row r="69" customFormat="false" ht="15.75" hidden="false" customHeight="true" outlineLevel="0" collapsed="false"/>
    <row r="70" customFormat="false" ht="15.75" hidden="false" customHeight="true" outlineLevel="0" collapsed="false">
      <c r="A70" s="17" t="s">
        <v>618</v>
      </c>
      <c r="B70" s="3" t="s">
        <v>619</v>
      </c>
    </row>
    <row r="71" customFormat="false" ht="15.75" hidden="false" customHeight="true" outlineLevel="0" collapsed="false">
      <c r="A71" s="11" t="s">
        <v>620</v>
      </c>
    </row>
    <row r="72" customFormat="false" ht="15.75" hidden="false" customHeight="true" outlineLevel="0" collapsed="false">
      <c r="A72" s="11" t="s">
        <v>621</v>
      </c>
    </row>
    <row r="73" customFormat="false" ht="15.75" hidden="false" customHeight="true" outlineLevel="0" collapsed="false"/>
    <row r="74" customFormat="false" ht="15.75" hidden="false" customHeight="true" outlineLevel="0" collapsed="false">
      <c r="A74" s="17" t="s">
        <v>622</v>
      </c>
      <c r="B74" s="3" t="s">
        <v>591</v>
      </c>
    </row>
    <row r="75" customFormat="false" ht="15.75" hidden="false" customHeight="true" outlineLevel="0" collapsed="false">
      <c r="A75" s="11" t="s">
        <v>623</v>
      </c>
    </row>
    <row r="76" customFormat="false" ht="15.75" hidden="false" customHeight="true" outlineLevel="0" collapsed="false">
      <c r="A76" s="11" t="s">
        <v>624</v>
      </c>
    </row>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2026-05-23T18:50:16Z</dcterms:created>
  <dc:creator>openpyxl</dc:creator>
  <dc:description/>
  <dc:language>en-US</dc:language>
  <cp:lastModifiedBy/>
  <dcterms:modified xsi:type="dcterms:W3CDTF">2026-05-23T18:52:25Z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